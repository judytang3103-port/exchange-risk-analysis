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FINS3616/individual assignment/"/>
    </mc:Choice>
  </mc:AlternateContent>
  <xr:revisionPtr revIDLastSave="0" documentId="13_ncr:1_{FDD76FA6-FB31-9344-917E-61216DCD5344}" xr6:coauthVersionLast="47" xr6:coauthVersionMax="47" xr10:uidLastSave="{00000000-0000-0000-0000-000000000000}"/>
  <bookViews>
    <workbookView xWindow="0" yWindow="500" windowWidth="28800" windowHeight="16080" xr2:uid="{0E3EA59F-7772-7342-BF4E-367CD400FAA7}"/>
  </bookViews>
  <sheets>
    <sheet name="3.8.1 Exchange Risk - CAD" sheetId="9" r:id="rId1"/>
    <sheet name="3.8.2 Exchange Risk - EUR" sheetId="10" r:id="rId2"/>
    <sheet name="3.7-9 Prediction and Hedging" sheetId="4" r:id="rId3"/>
    <sheet name="3.4 Regression Model" sheetId="3" r:id="rId4"/>
    <sheet name="Final Data" sheetId="1" r:id="rId5"/>
    <sheet name="3.8 Data - CAD#USD " sheetId="7" r:id="rId6"/>
    <sheet name="3.8 Data EUR#US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H23" i="4"/>
  <c r="I22" i="9"/>
  <c r="I21" i="9"/>
  <c r="I20" i="9"/>
  <c r="I19" i="9"/>
  <c r="I18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" i="9"/>
  <c r="I22" i="10" l="1"/>
  <c r="I21" i="10"/>
  <c r="I20" i="10"/>
  <c r="I19" i="10"/>
  <c r="I18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" i="10"/>
  <c r="E1" i="10" a="1"/>
  <c r="E1" i="10" s="1"/>
  <c r="E1" i="9" a="1"/>
  <c r="E1" i="9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" i="9"/>
  <c r="L271" i="8"/>
  <c r="K271" i="8"/>
  <c r="J271" i="8"/>
  <c r="L270" i="8"/>
  <c r="K270" i="8"/>
  <c r="J270" i="8"/>
  <c r="L269" i="8"/>
  <c r="K269" i="8"/>
  <c r="J269" i="8"/>
  <c r="L268" i="8"/>
  <c r="K268" i="8"/>
  <c r="J268" i="8"/>
  <c r="L267" i="8"/>
  <c r="K267" i="8"/>
  <c r="J267" i="8"/>
  <c r="L266" i="8"/>
  <c r="K266" i="8"/>
  <c r="J266" i="8"/>
  <c r="L265" i="8"/>
  <c r="K265" i="8"/>
  <c r="J265" i="8"/>
  <c r="L264" i="8"/>
  <c r="K264" i="8"/>
  <c r="J264" i="8"/>
  <c r="L263" i="8"/>
  <c r="K263" i="8"/>
  <c r="J263" i="8"/>
  <c r="L262" i="8"/>
  <c r="K262" i="8"/>
  <c r="J262" i="8"/>
  <c r="L261" i="8"/>
  <c r="K261" i="8"/>
  <c r="J261" i="8"/>
  <c r="L260" i="8"/>
  <c r="K260" i="8"/>
  <c r="J260" i="8"/>
  <c r="L259" i="8"/>
  <c r="K259" i="8"/>
  <c r="J259" i="8"/>
  <c r="L258" i="8"/>
  <c r="K258" i="8"/>
  <c r="J258" i="8"/>
  <c r="L257" i="8"/>
  <c r="K257" i="8"/>
  <c r="J257" i="8"/>
  <c r="L256" i="8"/>
  <c r="K256" i="8"/>
  <c r="J256" i="8"/>
  <c r="L255" i="8"/>
  <c r="K255" i="8"/>
  <c r="J255" i="8"/>
  <c r="L254" i="8"/>
  <c r="K254" i="8"/>
  <c r="J254" i="8"/>
  <c r="L253" i="8"/>
  <c r="K253" i="8"/>
  <c r="J253" i="8"/>
  <c r="L252" i="8"/>
  <c r="K252" i="8"/>
  <c r="J252" i="8"/>
  <c r="L251" i="8"/>
  <c r="K251" i="8"/>
  <c r="J251" i="8"/>
  <c r="L250" i="8"/>
  <c r="K250" i="8"/>
  <c r="J250" i="8"/>
  <c r="L249" i="8"/>
  <c r="K249" i="8"/>
  <c r="J249" i="8"/>
  <c r="L248" i="8"/>
  <c r="K248" i="8"/>
  <c r="J248" i="8"/>
  <c r="L247" i="8"/>
  <c r="K247" i="8"/>
  <c r="J247" i="8"/>
  <c r="L246" i="8"/>
  <c r="K246" i="8"/>
  <c r="J246" i="8"/>
  <c r="L245" i="8"/>
  <c r="K245" i="8"/>
  <c r="J245" i="8"/>
  <c r="L244" i="8"/>
  <c r="K244" i="8"/>
  <c r="J244" i="8"/>
  <c r="L243" i="8"/>
  <c r="K243" i="8"/>
  <c r="J243" i="8"/>
  <c r="L242" i="8"/>
  <c r="K242" i="8"/>
  <c r="J242" i="8"/>
  <c r="L241" i="8"/>
  <c r="K241" i="8"/>
  <c r="J241" i="8"/>
  <c r="L240" i="8"/>
  <c r="K240" i="8"/>
  <c r="J240" i="8"/>
  <c r="L239" i="8"/>
  <c r="K239" i="8"/>
  <c r="J239" i="8"/>
  <c r="L238" i="8"/>
  <c r="K238" i="8"/>
  <c r="J238" i="8"/>
  <c r="L237" i="8"/>
  <c r="K237" i="8"/>
  <c r="J237" i="8"/>
  <c r="L236" i="8"/>
  <c r="K236" i="8"/>
  <c r="J236" i="8"/>
  <c r="L235" i="8"/>
  <c r="K235" i="8"/>
  <c r="J235" i="8"/>
  <c r="L234" i="8"/>
  <c r="K234" i="8"/>
  <c r="J234" i="8"/>
  <c r="L233" i="8"/>
  <c r="K233" i="8"/>
  <c r="J233" i="8"/>
  <c r="L232" i="8"/>
  <c r="K232" i="8"/>
  <c r="J232" i="8"/>
  <c r="L231" i="8"/>
  <c r="K231" i="8"/>
  <c r="J231" i="8"/>
  <c r="L230" i="8"/>
  <c r="K230" i="8"/>
  <c r="J230" i="8"/>
  <c r="L229" i="8"/>
  <c r="K229" i="8"/>
  <c r="J229" i="8"/>
  <c r="L228" i="8"/>
  <c r="K228" i="8"/>
  <c r="J228" i="8"/>
  <c r="L227" i="8"/>
  <c r="K227" i="8"/>
  <c r="J227" i="8"/>
  <c r="L226" i="8"/>
  <c r="K226" i="8"/>
  <c r="J226" i="8"/>
  <c r="L225" i="8"/>
  <c r="K225" i="8"/>
  <c r="J225" i="8"/>
  <c r="L224" i="8"/>
  <c r="K224" i="8"/>
  <c r="J224" i="8"/>
  <c r="L223" i="8"/>
  <c r="K223" i="8"/>
  <c r="J223" i="8"/>
  <c r="L222" i="8"/>
  <c r="K222" i="8"/>
  <c r="J222" i="8"/>
  <c r="L221" i="8"/>
  <c r="K221" i="8"/>
  <c r="J221" i="8"/>
  <c r="L220" i="8"/>
  <c r="K220" i="8"/>
  <c r="J220" i="8"/>
  <c r="L219" i="8"/>
  <c r="K219" i="8"/>
  <c r="J219" i="8"/>
  <c r="L218" i="8"/>
  <c r="K218" i="8"/>
  <c r="J218" i="8"/>
  <c r="L217" i="8"/>
  <c r="K217" i="8"/>
  <c r="J217" i="8"/>
  <c r="L216" i="8"/>
  <c r="K216" i="8"/>
  <c r="J216" i="8"/>
  <c r="L215" i="8"/>
  <c r="K215" i="8"/>
  <c r="J215" i="8"/>
  <c r="L214" i="8"/>
  <c r="K214" i="8"/>
  <c r="J214" i="8"/>
  <c r="L213" i="8"/>
  <c r="K213" i="8"/>
  <c r="J213" i="8"/>
  <c r="L212" i="8"/>
  <c r="K212" i="8"/>
  <c r="J212" i="8"/>
  <c r="L211" i="8"/>
  <c r="K211" i="8"/>
  <c r="J211" i="8"/>
  <c r="L210" i="8"/>
  <c r="K210" i="8"/>
  <c r="J210" i="8"/>
  <c r="L209" i="8"/>
  <c r="K209" i="8"/>
  <c r="J209" i="8"/>
  <c r="L208" i="8"/>
  <c r="K208" i="8"/>
  <c r="J208" i="8"/>
  <c r="L207" i="8"/>
  <c r="K207" i="8"/>
  <c r="J207" i="8"/>
  <c r="L206" i="8"/>
  <c r="K206" i="8"/>
  <c r="J206" i="8"/>
  <c r="L205" i="8"/>
  <c r="K205" i="8"/>
  <c r="J205" i="8"/>
  <c r="L204" i="8"/>
  <c r="K204" i="8"/>
  <c r="J204" i="8"/>
  <c r="L203" i="8"/>
  <c r="K203" i="8"/>
  <c r="J203" i="8"/>
  <c r="L202" i="8"/>
  <c r="K202" i="8"/>
  <c r="J202" i="8"/>
  <c r="L201" i="8"/>
  <c r="K201" i="8"/>
  <c r="J201" i="8"/>
  <c r="L200" i="8"/>
  <c r="K200" i="8"/>
  <c r="J200" i="8"/>
  <c r="L199" i="8"/>
  <c r="K199" i="8"/>
  <c r="J199" i="8"/>
  <c r="L198" i="8"/>
  <c r="K198" i="8"/>
  <c r="J198" i="8"/>
  <c r="L197" i="8"/>
  <c r="K197" i="8"/>
  <c r="J197" i="8"/>
  <c r="L196" i="8"/>
  <c r="K196" i="8"/>
  <c r="J196" i="8"/>
  <c r="L195" i="8"/>
  <c r="K195" i="8"/>
  <c r="J195" i="8"/>
  <c r="L194" i="8"/>
  <c r="K194" i="8"/>
  <c r="J194" i="8"/>
  <c r="L193" i="8"/>
  <c r="K193" i="8"/>
  <c r="J193" i="8"/>
  <c r="L192" i="8"/>
  <c r="K192" i="8"/>
  <c r="J192" i="8"/>
  <c r="L191" i="8"/>
  <c r="K191" i="8"/>
  <c r="J191" i="8"/>
  <c r="L190" i="8"/>
  <c r="K190" i="8"/>
  <c r="J190" i="8"/>
  <c r="L189" i="8"/>
  <c r="K189" i="8"/>
  <c r="J189" i="8"/>
  <c r="L188" i="8"/>
  <c r="K188" i="8"/>
  <c r="J188" i="8"/>
  <c r="L187" i="8"/>
  <c r="K187" i="8"/>
  <c r="J187" i="8"/>
  <c r="L186" i="8"/>
  <c r="K186" i="8"/>
  <c r="J186" i="8"/>
  <c r="L185" i="8"/>
  <c r="K185" i="8"/>
  <c r="J185" i="8"/>
  <c r="L184" i="8"/>
  <c r="K184" i="8"/>
  <c r="J184" i="8"/>
  <c r="L183" i="8"/>
  <c r="K183" i="8"/>
  <c r="J183" i="8"/>
  <c r="L182" i="8"/>
  <c r="K182" i="8"/>
  <c r="J182" i="8"/>
  <c r="L181" i="8"/>
  <c r="K181" i="8"/>
  <c r="J181" i="8"/>
  <c r="L180" i="8"/>
  <c r="K180" i="8"/>
  <c r="J180" i="8"/>
  <c r="L179" i="8"/>
  <c r="K179" i="8"/>
  <c r="J179" i="8"/>
  <c r="L178" i="8"/>
  <c r="K178" i="8"/>
  <c r="J178" i="8"/>
  <c r="L177" i="8"/>
  <c r="K177" i="8"/>
  <c r="J177" i="8"/>
  <c r="L176" i="8"/>
  <c r="K176" i="8"/>
  <c r="J176" i="8"/>
  <c r="L175" i="8"/>
  <c r="K175" i="8"/>
  <c r="J175" i="8"/>
  <c r="L174" i="8"/>
  <c r="K174" i="8"/>
  <c r="J174" i="8"/>
  <c r="L173" i="8"/>
  <c r="K173" i="8"/>
  <c r="J173" i="8"/>
  <c r="L172" i="8"/>
  <c r="K172" i="8"/>
  <c r="J172" i="8"/>
  <c r="L171" i="8"/>
  <c r="K171" i="8"/>
  <c r="J171" i="8"/>
  <c r="L170" i="8"/>
  <c r="K170" i="8"/>
  <c r="J170" i="8"/>
  <c r="L169" i="8"/>
  <c r="K169" i="8"/>
  <c r="J169" i="8"/>
  <c r="L168" i="8"/>
  <c r="K168" i="8"/>
  <c r="J168" i="8"/>
  <c r="L167" i="8"/>
  <c r="K167" i="8"/>
  <c r="J167" i="8"/>
  <c r="L166" i="8"/>
  <c r="K166" i="8"/>
  <c r="J166" i="8"/>
  <c r="L165" i="8"/>
  <c r="K165" i="8"/>
  <c r="J165" i="8"/>
  <c r="L164" i="8"/>
  <c r="K164" i="8"/>
  <c r="J164" i="8"/>
  <c r="L163" i="8"/>
  <c r="K163" i="8"/>
  <c r="J163" i="8"/>
  <c r="L162" i="8"/>
  <c r="K162" i="8"/>
  <c r="J162" i="8"/>
  <c r="L161" i="8"/>
  <c r="K161" i="8"/>
  <c r="J161" i="8"/>
  <c r="L160" i="8"/>
  <c r="K160" i="8"/>
  <c r="J160" i="8"/>
  <c r="L159" i="8"/>
  <c r="K159" i="8"/>
  <c r="J159" i="8"/>
  <c r="L158" i="8"/>
  <c r="K158" i="8"/>
  <c r="J158" i="8"/>
  <c r="L157" i="8"/>
  <c r="K157" i="8"/>
  <c r="J157" i="8"/>
  <c r="L156" i="8"/>
  <c r="K156" i="8"/>
  <c r="J156" i="8"/>
  <c r="L155" i="8"/>
  <c r="K155" i="8"/>
  <c r="J155" i="8"/>
  <c r="L154" i="8"/>
  <c r="K154" i="8"/>
  <c r="J154" i="8"/>
  <c r="L153" i="8"/>
  <c r="K153" i="8"/>
  <c r="J153" i="8"/>
  <c r="L152" i="8"/>
  <c r="K152" i="8"/>
  <c r="J152" i="8"/>
  <c r="L151" i="8"/>
  <c r="K151" i="8"/>
  <c r="J151" i="8"/>
  <c r="L150" i="8"/>
  <c r="K150" i="8"/>
  <c r="J150" i="8"/>
  <c r="L149" i="8"/>
  <c r="K149" i="8"/>
  <c r="J149" i="8"/>
  <c r="L148" i="8"/>
  <c r="K148" i="8"/>
  <c r="J148" i="8"/>
  <c r="L147" i="8"/>
  <c r="K147" i="8"/>
  <c r="J147" i="8"/>
  <c r="L146" i="8"/>
  <c r="K146" i="8"/>
  <c r="J146" i="8"/>
  <c r="L145" i="8"/>
  <c r="K145" i="8"/>
  <c r="J145" i="8"/>
  <c r="L144" i="8"/>
  <c r="K144" i="8"/>
  <c r="J144" i="8"/>
  <c r="L143" i="8"/>
  <c r="K143" i="8"/>
  <c r="J143" i="8"/>
  <c r="L142" i="8"/>
  <c r="K142" i="8"/>
  <c r="J142" i="8"/>
  <c r="L141" i="8"/>
  <c r="K141" i="8"/>
  <c r="J141" i="8"/>
  <c r="L140" i="8"/>
  <c r="K140" i="8"/>
  <c r="J140" i="8"/>
  <c r="L139" i="8"/>
  <c r="K139" i="8"/>
  <c r="J139" i="8"/>
  <c r="L138" i="8"/>
  <c r="K138" i="8"/>
  <c r="J138" i="8"/>
  <c r="L137" i="8"/>
  <c r="K137" i="8"/>
  <c r="J137" i="8"/>
  <c r="L136" i="8"/>
  <c r="K136" i="8"/>
  <c r="J136" i="8"/>
  <c r="L135" i="8"/>
  <c r="K135" i="8"/>
  <c r="J135" i="8"/>
  <c r="L134" i="8"/>
  <c r="K134" i="8"/>
  <c r="J134" i="8"/>
  <c r="L133" i="8"/>
  <c r="K133" i="8"/>
  <c r="J133" i="8"/>
  <c r="L132" i="8"/>
  <c r="K132" i="8"/>
  <c r="J132" i="8"/>
  <c r="L131" i="8"/>
  <c r="K131" i="8"/>
  <c r="J131" i="8"/>
  <c r="L130" i="8"/>
  <c r="K130" i="8"/>
  <c r="J130" i="8"/>
  <c r="L129" i="8"/>
  <c r="K129" i="8"/>
  <c r="J129" i="8"/>
  <c r="L128" i="8"/>
  <c r="K128" i="8"/>
  <c r="J128" i="8"/>
  <c r="L127" i="8"/>
  <c r="K127" i="8"/>
  <c r="J127" i="8"/>
  <c r="L126" i="8"/>
  <c r="K126" i="8"/>
  <c r="J126" i="8"/>
  <c r="L125" i="8"/>
  <c r="K125" i="8"/>
  <c r="J125" i="8"/>
  <c r="L124" i="8"/>
  <c r="K124" i="8"/>
  <c r="J124" i="8"/>
  <c r="L123" i="8"/>
  <c r="K123" i="8"/>
  <c r="J123" i="8"/>
  <c r="L122" i="8"/>
  <c r="K122" i="8"/>
  <c r="J122" i="8"/>
  <c r="L121" i="8"/>
  <c r="K121" i="8"/>
  <c r="J121" i="8"/>
  <c r="L120" i="8"/>
  <c r="K120" i="8"/>
  <c r="J120" i="8"/>
  <c r="L119" i="8"/>
  <c r="K119" i="8"/>
  <c r="J119" i="8"/>
  <c r="L118" i="8"/>
  <c r="K118" i="8"/>
  <c r="J118" i="8"/>
  <c r="L117" i="8"/>
  <c r="K117" i="8"/>
  <c r="J117" i="8"/>
  <c r="L116" i="8"/>
  <c r="K116" i="8"/>
  <c r="J116" i="8"/>
  <c r="L115" i="8"/>
  <c r="K115" i="8"/>
  <c r="J115" i="8"/>
  <c r="L114" i="8"/>
  <c r="K114" i="8"/>
  <c r="J114" i="8"/>
  <c r="L113" i="8"/>
  <c r="K113" i="8"/>
  <c r="J113" i="8"/>
  <c r="L112" i="8"/>
  <c r="K112" i="8"/>
  <c r="J112" i="8"/>
  <c r="L111" i="8"/>
  <c r="K111" i="8"/>
  <c r="J111" i="8"/>
  <c r="L110" i="8"/>
  <c r="K110" i="8"/>
  <c r="J110" i="8"/>
  <c r="L109" i="8"/>
  <c r="K109" i="8"/>
  <c r="J109" i="8"/>
  <c r="L108" i="8"/>
  <c r="K108" i="8"/>
  <c r="J108" i="8"/>
  <c r="L107" i="8"/>
  <c r="K107" i="8"/>
  <c r="J107" i="8"/>
  <c r="L106" i="8"/>
  <c r="K106" i="8"/>
  <c r="J106" i="8"/>
  <c r="L105" i="8"/>
  <c r="K105" i="8"/>
  <c r="J105" i="8"/>
  <c r="L104" i="8"/>
  <c r="K104" i="8"/>
  <c r="J104" i="8"/>
  <c r="L103" i="8"/>
  <c r="K103" i="8"/>
  <c r="J103" i="8"/>
  <c r="L102" i="8"/>
  <c r="K102" i="8"/>
  <c r="J102" i="8"/>
  <c r="L101" i="8"/>
  <c r="K101" i="8"/>
  <c r="J101" i="8"/>
  <c r="L100" i="8"/>
  <c r="K100" i="8"/>
  <c r="J100" i="8"/>
  <c r="L99" i="8"/>
  <c r="K99" i="8"/>
  <c r="J99" i="8"/>
  <c r="L98" i="8"/>
  <c r="K98" i="8"/>
  <c r="J98" i="8"/>
  <c r="L97" i="8"/>
  <c r="K97" i="8"/>
  <c r="J97" i="8"/>
  <c r="L96" i="8"/>
  <c r="K96" i="8"/>
  <c r="J96" i="8"/>
  <c r="L95" i="8"/>
  <c r="K95" i="8"/>
  <c r="J95" i="8"/>
  <c r="L94" i="8"/>
  <c r="K94" i="8"/>
  <c r="J94" i="8"/>
  <c r="L93" i="8"/>
  <c r="K93" i="8"/>
  <c r="J93" i="8"/>
  <c r="L92" i="8"/>
  <c r="K92" i="8"/>
  <c r="J92" i="8"/>
  <c r="L91" i="8"/>
  <c r="K91" i="8"/>
  <c r="J91" i="8"/>
  <c r="L90" i="8"/>
  <c r="K90" i="8"/>
  <c r="J90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80" i="8"/>
  <c r="K80" i="8"/>
  <c r="J80" i="8"/>
  <c r="L79" i="8"/>
  <c r="K79" i="8"/>
  <c r="J79" i="8"/>
  <c r="L78" i="8"/>
  <c r="K78" i="8"/>
  <c r="J78" i="8"/>
  <c r="L77" i="8"/>
  <c r="K77" i="8"/>
  <c r="J77" i="8"/>
  <c r="L76" i="8"/>
  <c r="K76" i="8"/>
  <c r="J76" i="8"/>
  <c r="L75" i="8"/>
  <c r="K75" i="8"/>
  <c r="J75" i="8"/>
  <c r="L74" i="8"/>
  <c r="K74" i="8"/>
  <c r="J74" i="8"/>
  <c r="L73" i="8"/>
  <c r="K73" i="8"/>
  <c r="J73" i="8"/>
  <c r="L72" i="8"/>
  <c r="K72" i="8"/>
  <c r="J72" i="8"/>
  <c r="L71" i="8"/>
  <c r="K71" i="8"/>
  <c r="J71" i="8"/>
  <c r="L70" i="8"/>
  <c r="K70" i="8"/>
  <c r="J70" i="8"/>
  <c r="L69" i="8"/>
  <c r="K69" i="8"/>
  <c r="J69" i="8"/>
  <c r="L68" i="8"/>
  <c r="K68" i="8"/>
  <c r="J68" i="8"/>
  <c r="L67" i="8"/>
  <c r="K67" i="8"/>
  <c r="J67" i="8"/>
  <c r="L66" i="8"/>
  <c r="K66" i="8"/>
  <c r="J66" i="8"/>
  <c r="L65" i="8"/>
  <c r="K65" i="8"/>
  <c r="J65" i="8"/>
  <c r="L64" i="8"/>
  <c r="K64" i="8"/>
  <c r="J64" i="8"/>
  <c r="L63" i="8"/>
  <c r="K63" i="8"/>
  <c r="J63" i="8"/>
  <c r="L62" i="8"/>
  <c r="K62" i="8"/>
  <c r="J62" i="8"/>
  <c r="L61" i="8"/>
  <c r="K61" i="8"/>
  <c r="J61" i="8"/>
  <c r="L60" i="8"/>
  <c r="K60" i="8"/>
  <c r="J60" i="8"/>
  <c r="L59" i="8"/>
  <c r="K59" i="8"/>
  <c r="J59" i="8"/>
  <c r="L58" i="8"/>
  <c r="K58" i="8"/>
  <c r="J58" i="8"/>
  <c r="L57" i="8"/>
  <c r="K57" i="8"/>
  <c r="J57" i="8"/>
  <c r="L56" i="8"/>
  <c r="K56" i="8"/>
  <c r="J56" i="8"/>
  <c r="L55" i="8"/>
  <c r="K55" i="8"/>
  <c r="J55" i="8"/>
  <c r="L54" i="8"/>
  <c r="K54" i="8"/>
  <c r="J54" i="8"/>
  <c r="L53" i="8"/>
  <c r="K53" i="8"/>
  <c r="J53" i="8"/>
  <c r="L52" i="8"/>
  <c r="K52" i="8"/>
  <c r="J52" i="8"/>
  <c r="L51" i="8"/>
  <c r="K51" i="8"/>
  <c r="J51" i="8"/>
  <c r="L50" i="8"/>
  <c r="K50" i="8"/>
  <c r="J50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4" i="8"/>
  <c r="K44" i="8"/>
  <c r="J44" i="8"/>
  <c r="L43" i="8"/>
  <c r="K43" i="8"/>
  <c r="J43" i="8"/>
  <c r="L42" i="8"/>
  <c r="K42" i="8"/>
  <c r="J42" i="8"/>
  <c r="L41" i="8"/>
  <c r="K41" i="8"/>
  <c r="J41" i="8"/>
  <c r="L40" i="8"/>
  <c r="K40" i="8"/>
  <c r="J40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13" i="8"/>
  <c r="K13" i="8"/>
  <c r="J13" i="8"/>
  <c r="L12" i="8"/>
  <c r="K12" i="8"/>
  <c r="J12" i="8"/>
  <c r="L11" i="8"/>
  <c r="K11" i="8"/>
  <c r="J11" i="8"/>
  <c r="L10" i="8"/>
  <c r="K10" i="8"/>
  <c r="J10" i="8"/>
  <c r="L9" i="8"/>
  <c r="K9" i="8"/>
  <c r="J9" i="8"/>
  <c r="L8" i="8"/>
  <c r="K8" i="8"/>
  <c r="J8" i="8"/>
  <c r="L7" i="8"/>
  <c r="K7" i="8"/>
  <c r="J7" i="8"/>
  <c r="L6" i="8"/>
  <c r="K6" i="8"/>
  <c r="J6" i="8"/>
  <c r="L5" i="8"/>
  <c r="K5" i="8"/>
  <c r="J5" i="8"/>
  <c r="L4" i="8"/>
  <c r="K4" i="8"/>
  <c r="J4" i="8"/>
  <c r="L3" i="8"/>
  <c r="K3" i="8"/>
  <c r="J3" i="8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3" i="7"/>
  <c r="F19" i="3" l="1"/>
  <c r="F18" i="3"/>
  <c r="C16" i="3"/>
  <c r="C24" i="3"/>
  <c r="C32" i="3"/>
  <c r="C40" i="3"/>
  <c r="C80" i="3"/>
  <c r="C88" i="3"/>
  <c r="C96" i="3"/>
  <c r="C104" i="3"/>
  <c r="C144" i="3"/>
  <c r="C152" i="3"/>
  <c r="C160" i="3"/>
  <c r="C168" i="3"/>
  <c r="C208" i="3"/>
  <c r="C216" i="3"/>
  <c r="C224" i="3"/>
  <c r="C232" i="3"/>
  <c r="C3" i="3"/>
  <c r="B11" i="3"/>
  <c r="B19" i="3"/>
  <c r="B27" i="3"/>
  <c r="B67" i="3"/>
  <c r="B75" i="3"/>
  <c r="B83" i="3"/>
  <c r="B91" i="3"/>
  <c r="B131" i="3"/>
  <c r="B139" i="3"/>
  <c r="B147" i="3"/>
  <c r="B155" i="3"/>
  <c r="B179" i="3"/>
  <c r="B187" i="3"/>
  <c r="B211" i="3"/>
  <c r="B219" i="3"/>
  <c r="B243" i="3"/>
  <c r="B251" i="3"/>
  <c r="D3" i="1"/>
  <c r="D4" i="1"/>
  <c r="B4" i="3" s="1"/>
  <c r="D5" i="1"/>
  <c r="D6" i="1"/>
  <c r="D7" i="1"/>
  <c r="C7" i="3" s="1"/>
  <c r="D8" i="1"/>
  <c r="D9" i="1"/>
  <c r="D10" i="1"/>
  <c r="D11" i="1"/>
  <c r="D12" i="1"/>
  <c r="B12" i="3" s="1"/>
  <c r="D13" i="1"/>
  <c r="D14" i="1"/>
  <c r="D15" i="1"/>
  <c r="C15" i="3" s="1"/>
  <c r="D16" i="1"/>
  <c r="D17" i="1"/>
  <c r="D18" i="1"/>
  <c r="D19" i="1"/>
  <c r="D20" i="1"/>
  <c r="B20" i="3" s="1"/>
  <c r="D21" i="1"/>
  <c r="D22" i="1"/>
  <c r="D23" i="1"/>
  <c r="C23" i="3" s="1"/>
  <c r="D24" i="1"/>
  <c r="D25" i="1"/>
  <c r="D26" i="1"/>
  <c r="D27" i="1"/>
  <c r="D28" i="1"/>
  <c r="B28" i="3" s="1"/>
  <c r="D29" i="1"/>
  <c r="D30" i="1"/>
  <c r="D31" i="1"/>
  <c r="C31" i="3" s="1"/>
  <c r="D32" i="1"/>
  <c r="D33" i="1"/>
  <c r="D34" i="1"/>
  <c r="D35" i="1"/>
  <c r="D36" i="1"/>
  <c r="B36" i="3" s="1"/>
  <c r="D37" i="1"/>
  <c r="D38" i="1"/>
  <c r="D39" i="1"/>
  <c r="C39" i="3" s="1"/>
  <c r="D40" i="1"/>
  <c r="D41" i="1"/>
  <c r="D42" i="1"/>
  <c r="D43" i="1"/>
  <c r="D44" i="1"/>
  <c r="B44" i="3" s="1"/>
  <c r="D45" i="1"/>
  <c r="D46" i="1"/>
  <c r="D47" i="1"/>
  <c r="C47" i="3" s="1"/>
  <c r="D48" i="1"/>
  <c r="D49" i="1"/>
  <c r="D50" i="1"/>
  <c r="D51" i="1"/>
  <c r="D52" i="1"/>
  <c r="B52" i="3" s="1"/>
  <c r="D53" i="1"/>
  <c r="D54" i="1"/>
  <c r="D55" i="1"/>
  <c r="C55" i="3" s="1"/>
  <c r="D56" i="1"/>
  <c r="D57" i="1"/>
  <c r="D58" i="1"/>
  <c r="D59" i="1"/>
  <c r="D60" i="1"/>
  <c r="B60" i="3" s="1"/>
  <c r="D61" i="1"/>
  <c r="D62" i="1"/>
  <c r="D63" i="1"/>
  <c r="C63" i="3" s="1"/>
  <c r="D64" i="1"/>
  <c r="D65" i="1"/>
  <c r="D66" i="1"/>
  <c r="D67" i="1"/>
  <c r="D68" i="1"/>
  <c r="B68" i="3" s="1"/>
  <c r="D69" i="1"/>
  <c r="D70" i="1"/>
  <c r="D71" i="1"/>
  <c r="C71" i="3" s="1"/>
  <c r="D72" i="1"/>
  <c r="D73" i="1"/>
  <c r="D74" i="1"/>
  <c r="D75" i="1"/>
  <c r="D76" i="1"/>
  <c r="B76" i="3" s="1"/>
  <c r="D77" i="1"/>
  <c r="D78" i="1"/>
  <c r="D79" i="1"/>
  <c r="C79" i="3" s="1"/>
  <c r="D80" i="1"/>
  <c r="D81" i="1"/>
  <c r="D82" i="1"/>
  <c r="D83" i="1"/>
  <c r="D84" i="1"/>
  <c r="B84" i="3" s="1"/>
  <c r="D85" i="1"/>
  <c r="D86" i="1"/>
  <c r="D87" i="1"/>
  <c r="C87" i="3" s="1"/>
  <c r="D88" i="1"/>
  <c r="D89" i="1"/>
  <c r="D90" i="1"/>
  <c r="D91" i="1"/>
  <c r="D92" i="1"/>
  <c r="B92" i="3" s="1"/>
  <c r="D93" i="1"/>
  <c r="D94" i="1"/>
  <c r="D95" i="1"/>
  <c r="C95" i="3" s="1"/>
  <c r="D96" i="1"/>
  <c r="D97" i="1"/>
  <c r="D98" i="1"/>
  <c r="D99" i="1"/>
  <c r="D100" i="1"/>
  <c r="B100" i="3" s="1"/>
  <c r="D101" i="1"/>
  <c r="D102" i="1"/>
  <c r="D103" i="1"/>
  <c r="C103" i="3" s="1"/>
  <c r="D104" i="1"/>
  <c r="D105" i="1"/>
  <c r="D106" i="1"/>
  <c r="D107" i="1"/>
  <c r="D108" i="1"/>
  <c r="B108" i="3" s="1"/>
  <c r="D109" i="1"/>
  <c r="D110" i="1"/>
  <c r="D111" i="1"/>
  <c r="C111" i="3" s="1"/>
  <c r="D112" i="1"/>
  <c r="D113" i="1"/>
  <c r="D114" i="1"/>
  <c r="D115" i="1"/>
  <c r="D116" i="1"/>
  <c r="B116" i="3" s="1"/>
  <c r="D117" i="1"/>
  <c r="D118" i="1"/>
  <c r="D119" i="1"/>
  <c r="C119" i="3" s="1"/>
  <c r="D120" i="1"/>
  <c r="D121" i="1"/>
  <c r="D122" i="1"/>
  <c r="D123" i="1"/>
  <c r="D124" i="1"/>
  <c r="B124" i="3" s="1"/>
  <c r="D125" i="1"/>
  <c r="D126" i="1"/>
  <c r="D127" i="1"/>
  <c r="C127" i="3" s="1"/>
  <c r="D128" i="1"/>
  <c r="D129" i="1"/>
  <c r="D130" i="1"/>
  <c r="D131" i="1"/>
  <c r="D132" i="1"/>
  <c r="B132" i="3" s="1"/>
  <c r="D133" i="1"/>
  <c r="D134" i="1"/>
  <c r="D135" i="1"/>
  <c r="C135" i="3" s="1"/>
  <c r="D136" i="1"/>
  <c r="D137" i="1"/>
  <c r="D138" i="1"/>
  <c r="D139" i="1"/>
  <c r="D140" i="1"/>
  <c r="B140" i="3" s="1"/>
  <c r="D141" i="1"/>
  <c r="D142" i="1"/>
  <c r="D143" i="1"/>
  <c r="C143" i="3" s="1"/>
  <c r="D144" i="1"/>
  <c r="D145" i="1"/>
  <c r="D146" i="1"/>
  <c r="D147" i="1"/>
  <c r="D148" i="1"/>
  <c r="B148" i="3" s="1"/>
  <c r="D149" i="1"/>
  <c r="D150" i="1"/>
  <c r="D151" i="1"/>
  <c r="C151" i="3" s="1"/>
  <c r="D152" i="1"/>
  <c r="D153" i="1"/>
  <c r="D154" i="1"/>
  <c r="D155" i="1"/>
  <c r="D156" i="1"/>
  <c r="B156" i="3" s="1"/>
  <c r="D157" i="1"/>
  <c r="D158" i="1"/>
  <c r="D159" i="1"/>
  <c r="C159" i="3" s="1"/>
  <c r="D160" i="1"/>
  <c r="D161" i="1"/>
  <c r="D162" i="1"/>
  <c r="D163" i="1"/>
  <c r="D164" i="1"/>
  <c r="B164" i="3" s="1"/>
  <c r="D165" i="1"/>
  <c r="D166" i="1"/>
  <c r="D167" i="1"/>
  <c r="C167" i="3" s="1"/>
  <c r="D168" i="1"/>
  <c r="D169" i="1"/>
  <c r="D170" i="1"/>
  <c r="D171" i="1"/>
  <c r="D172" i="1"/>
  <c r="B172" i="3" s="1"/>
  <c r="D173" i="1"/>
  <c r="D174" i="1"/>
  <c r="D175" i="1"/>
  <c r="C175" i="3" s="1"/>
  <c r="D176" i="1"/>
  <c r="D177" i="1"/>
  <c r="D178" i="1"/>
  <c r="D179" i="1"/>
  <c r="D180" i="1"/>
  <c r="B180" i="3" s="1"/>
  <c r="D181" i="1"/>
  <c r="D182" i="1"/>
  <c r="D183" i="1"/>
  <c r="C183" i="3" s="1"/>
  <c r="D184" i="1"/>
  <c r="D185" i="1"/>
  <c r="D186" i="1"/>
  <c r="D187" i="1"/>
  <c r="D188" i="1"/>
  <c r="B188" i="3" s="1"/>
  <c r="D189" i="1"/>
  <c r="D190" i="1"/>
  <c r="D191" i="1"/>
  <c r="C191" i="3" s="1"/>
  <c r="D192" i="1"/>
  <c r="D193" i="1"/>
  <c r="D194" i="1"/>
  <c r="D195" i="1"/>
  <c r="D196" i="1"/>
  <c r="B196" i="3" s="1"/>
  <c r="D197" i="1"/>
  <c r="D198" i="1"/>
  <c r="D199" i="1"/>
  <c r="C199" i="3" s="1"/>
  <c r="D200" i="1"/>
  <c r="D201" i="1"/>
  <c r="D202" i="1"/>
  <c r="D203" i="1"/>
  <c r="D204" i="1"/>
  <c r="B204" i="3" s="1"/>
  <c r="D205" i="1"/>
  <c r="D206" i="1"/>
  <c r="D207" i="1"/>
  <c r="C207" i="3" s="1"/>
  <c r="D208" i="1"/>
  <c r="D209" i="1"/>
  <c r="D210" i="1"/>
  <c r="D211" i="1"/>
  <c r="D212" i="1"/>
  <c r="B212" i="3" s="1"/>
  <c r="D213" i="1"/>
  <c r="D214" i="1"/>
  <c r="D215" i="1"/>
  <c r="C215" i="3" s="1"/>
  <c r="D216" i="1"/>
  <c r="D217" i="1"/>
  <c r="D218" i="1"/>
  <c r="D219" i="1"/>
  <c r="D220" i="1"/>
  <c r="B220" i="3" s="1"/>
  <c r="D221" i="1"/>
  <c r="D222" i="1"/>
  <c r="D223" i="1"/>
  <c r="C223" i="3" s="1"/>
  <c r="D224" i="1"/>
  <c r="D225" i="1"/>
  <c r="D226" i="1"/>
  <c r="D227" i="1"/>
  <c r="D228" i="1"/>
  <c r="B228" i="3" s="1"/>
  <c r="D229" i="1"/>
  <c r="D230" i="1"/>
  <c r="D231" i="1"/>
  <c r="C231" i="3" s="1"/>
  <c r="D232" i="1"/>
  <c r="D233" i="1"/>
  <c r="D234" i="1"/>
  <c r="D235" i="1"/>
  <c r="D236" i="1"/>
  <c r="B236" i="3" s="1"/>
  <c r="D237" i="1"/>
  <c r="D238" i="1"/>
  <c r="D239" i="1"/>
  <c r="C239" i="3" s="1"/>
  <c r="D240" i="1"/>
  <c r="D241" i="1"/>
  <c r="D242" i="1"/>
  <c r="D243" i="1"/>
  <c r="D244" i="1"/>
  <c r="B244" i="3" s="1"/>
  <c r="D245" i="1"/>
  <c r="D246" i="1"/>
  <c r="D247" i="1"/>
  <c r="C247" i="3" s="1"/>
  <c r="D248" i="1"/>
  <c r="D249" i="1"/>
  <c r="D250" i="1"/>
  <c r="D251" i="1"/>
  <c r="D252" i="1"/>
  <c r="B252" i="3" s="1"/>
  <c r="D253" i="1"/>
  <c r="D254" i="1"/>
  <c r="D255" i="1"/>
  <c r="C255" i="3" s="1"/>
  <c r="D256" i="1"/>
  <c r="D257" i="1"/>
  <c r="D258" i="1"/>
  <c r="D259" i="1"/>
  <c r="D260" i="1"/>
  <c r="B260" i="3" s="1"/>
  <c r="D261" i="1"/>
  <c r="D262" i="1"/>
  <c r="D263" i="1"/>
  <c r="C263" i="3" s="1"/>
  <c r="D264" i="1"/>
  <c r="D265" i="1"/>
  <c r="D266" i="1"/>
  <c r="D267" i="1"/>
  <c r="D268" i="1"/>
  <c r="B268" i="3" s="1"/>
  <c r="D269" i="1"/>
  <c r="D270" i="1"/>
  <c r="D2" i="1"/>
  <c r="E2" i="4"/>
  <c r="E3" i="4"/>
  <c r="E4" i="4"/>
  <c r="E5" i="4"/>
  <c r="E6" i="4"/>
  <c r="E7" i="4"/>
  <c r="E8" i="4"/>
  <c r="E9" i="4"/>
  <c r="E10" i="4"/>
  <c r="E11" i="4"/>
  <c r="E12" i="4"/>
  <c r="E13" i="4"/>
  <c r="H8" i="4"/>
  <c r="H18" i="4" s="1"/>
  <c r="H25" i="4" s="1"/>
  <c r="H7" i="4"/>
  <c r="H6" i="4"/>
  <c r="B1" i="4" a="1"/>
  <c r="B1" i="4" s="1"/>
  <c r="R4" i="1"/>
  <c r="R5" i="1"/>
  <c r="R6" i="1"/>
  <c r="R7" i="1"/>
  <c r="R8" i="1"/>
  <c r="R9" i="1"/>
  <c r="R10" i="1"/>
  <c r="R11" i="1"/>
  <c r="R12" i="1"/>
  <c r="R13" i="1"/>
  <c r="Q4" i="1"/>
  <c r="Q5" i="1"/>
  <c r="Q6" i="1"/>
  <c r="Q7" i="1"/>
  <c r="Q8" i="1"/>
  <c r="Q9" i="1"/>
  <c r="Q10" i="1"/>
  <c r="Q11" i="1"/>
  <c r="Q12" i="1"/>
  <c r="Q13" i="1"/>
  <c r="P4" i="1"/>
  <c r="P5" i="1"/>
  <c r="P6" i="1"/>
  <c r="P7" i="1"/>
  <c r="P8" i="1"/>
  <c r="P9" i="1"/>
  <c r="P10" i="1"/>
  <c r="P11" i="1"/>
  <c r="P12" i="1"/>
  <c r="P13" i="1"/>
  <c r="Q3" i="1"/>
  <c r="R3" i="1"/>
  <c r="P3" i="1"/>
  <c r="G4" i="1"/>
  <c r="G5" i="1"/>
  <c r="G6" i="1"/>
  <c r="G7" i="1"/>
  <c r="B7" i="3" s="1"/>
  <c r="G8" i="1"/>
  <c r="B8" i="3" s="1"/>
  <c r="G9" i="1"/>
  <c r="B9" i="3" s="1"/>
  <c r="G10" i="1"/>
  <c r="B10" i="3" s="1"/>
  <c r="G11" i="1"/>
  <c r="G12" i="1"/>
  <c r="G13" i="1"/>
  <c r="G14" i="1"/>
  <c r="G15" i="1"/>
  <c r="B15" i="3" s="1"/>
  <c r="G16" i="1"/>
  <c r="B16" i="3" s="1"/>
  <c r="G17" i="1"/>
  <c r="B17" i="3" s="1"/>
  <c r="G18" i="1"/>
  <c r="B18" i="3" s="1"/>
  <c r="G19" i="1"/>
  <c r="G20" i="1"/>
  <c r="G21" i="1"/>
  <c r="G22" i="1"/>
  <c r="G23" i="1"/>
  <c r="B23" i="3" s="1"/>
  <c r="G24" i="1"/>
  <c r="B24" i="3" s="1"/>
  <c r="G25" i="1"/>
  <c r="B25" i="3" s="1"/>
  <c r="G26" i="1"/>
  <c r="B26" i="3" s="1"/>
  <c r="G27" i="1"/>
  <c r="G28" i="1"/>
  <c r="G29" i="1"/>
  <c r="G30" i="1"/>
  <c r="G31" i="1"/>
  <c r="B31" i="3" s="1"/>
  <c r="G32" i="1"/>
  <c r="B32" i="3" s="1"/>
  <c r="G33" i="1"/>
  <c r="B33" i="3" s="1"/>
  <c r="G34" i="1"/>
  <c r="B34" i="3" s="1"/>
  <c r="G35" i="1"/>
  <c r="B35" i="3" s="1"/>
  <c r="G36" i="1"/>
  <c r="G37" i="1"/>
  <c r="G38" i="1"/>
  <c r="G39" i="1"/>
  <c r="B39" i="3" s="1"/>
  <c r="G40" i="1"/>
  <c r="B40" i="3" s="1"/>
  <c r="G41" i="1"/>
  <c r="B41" i="3" s="1"/>
  <c r="G42" i="1"/>
  <c r="B42" i="3" s="1"/>
  <c r="G43" i="1"/>
  <c r="B43" i="3" s="1"/>
  <c r="G44" i="1"/>
  <c r="G45" i="1"/>
  <c r="G46" i="1"/>
  <c r="G47" i="1"/>
  <c r="B47" i="3" s="1"/>
  <c r="G48" i="1"/>
  <c r="B48" i="3" s="1"/>
  <c r="G49" i="1"/>
  <c r="B49" i="3" s="1"/>
  <c r="G50" i="1"/>
  <c r="B50" i="3" s="1"/>
  <c r="G51" i="1"/>
  <c r="B51" i="3" s="1"/>
  <c r="G52" i="1"/>
  <c r="G53" i="1"/>
  <c r="G54" i="1"/>
  <c r="G55" i="1"/>
  <c r="B55" i="3" s="1"/>
  <c r="G56" i="1"/>
  <c r="B56" i="3" s="1"/>
  <c r="G57" i="1"/>
  <c r="B57" i="3" s="1"/>
  <c r="G58" i="1"/>
  <c r="B58" i="3" s="1"/>
  <c r="G59" i="1"/>
  <c r="B59" i="3" s="1"/>
  <c r="G60" i="1"/>
  <c r="G61" i="1"/>
  <c r="G62" i="1"/>
  <c r="G63" i="1"/>
  <c r="B63" i="3" s="1"/>
  <c r="G64" i="1"/>
  <c r="B64" i="3" s="1"/>
  <c r="G65" i="1"/>
  <c r="B65" i="3" s="1"/>
  <c r="G66" i="1"/>
  <c r="B66" i="3" s="1"/>
  <c r="G67" i="1"/>
  <c r="G68" i="1"/>
  <c r="G69" i="1"/>
  <c r="G70" i="1"/>
  <c r="G71" i="1"/>
  <c r="B71" i="3" s="1"/>
  <c r="G72" i="1"/>
  <c r="B72" i="3" s="1"/>
  <c r="G73" i="1"/>
  <c r="B73" i="3" s="1"/>
  <c r="G74" i="1"/>
  <c r="B74" i="3" s="1"/>
  <c r="G75" i="1"/>
  <c r="G76" i="1"/>
  <c r="G77" i="1"/>
  <c r="B77" i="3" s="1"/>
  <c r="G78" i="1"/>
  <c r="G79" i="1"/>
  <c r="B79" i="3" s="1"/>
  <c r="G80" i="1"/>
  <c r="B80" i="3" s="1"/>
  <c r="G81" i="1"/>
  <c r="B81" i="3" s="1"/>
  <c r="G82" i="1"/>
  <c r="B82" i="3" s="1"/>
  <c r="G83" i="1"/>
  <c r="G84" i="1"/>
  <c r="G85" i="1"/>
  <c r="G86" i="1"/>
  <c r="G87" i="1"/>
  <c r="B87" i="3" s="1"/>
  <c r="G88" i="1"/>
  <c r="B88" i="3" s="1"/>
  <c r="G89" i="1"/>
  <c r="B89" i="3" s="1"/>
  <c r="G90" i="1"/>
  <c r="B90" i="3" s="1"/>
  <c r="G91" i="1"/>
  <c r="G92" i="1"/>
  <c r="G93" i="1"/>
  <c r="G94" i="1"/>
  <c r="G95" i="1"/>
  <c r="B95" i="3" s="1"/>
  <c r="G96" i="1"/>
  <c r="B96" i="3" s="1"/>
  <c r="G97" i="1"/>
  <c r="B97" i="3" s="1"/>
  <c r="G98" i="1"/>
  <c r="B98" i="3" s="1"/>
  <c r="G99" i="1"/>
  <c r="B99" i="3" s="1"/>
  <c r="G100" i="1"/>
  <c r="G101" i="1"/>
  <c r="B101" i="3" s="1"/>
  <c r="G102" i="1"/>
  <c r="B102" i="3" s="1"/>
  <c r="G103" i="1"/>
  <c r="B103" i="3" s="1"/>
  <c r="G104" i="1"/>
  <c r="B104" i="3" s="1"/>
  <c r="G105" i="1"/>
  <c r="B105" i="3" s="1"/>
  <c r="G106" i="1"/>
  <c r="B106" i="3" s="1"/>
  <c r="G107" i="1"/>
  <c r="B107" i="3" s="1"/>
  <c r="G108" i="1"/>
  <c r="G109" i="1"/>
  <c r="B109" i="3" s="1"/>
  <c r="G110" i="1"/>
  <c r="B110" i="3" s="1"/>
  <c r="G111" i="1"/>
  <c r="B111" i="3" s="1"/>
  <c r="G112" i="1"/>
  <c r="B112" i="3" s="1"/>
  <c r="G113" i="1"/>
  <c r="B113" i="3" s="1"/>
  <c r="G114" i="1"/>
  <c r="B114" i="3" s="1"/>
  <c r="G115" i="1"/>
  <c r="B115" i="3" s="1"/>
  <c r="G116" i="1"/>
  <c r="G117" i="1"/>
  <c r="B117" i="3" s="1"/>
  <c r="G118" i="1"/>
  <c r="B118" i="3" s="1"/>
  <c r="G119" i="1"/>
  <c r="B119" i="3" s="1"/>
  <c r="G120" i="1"/>
  <c r="B120" i="3" s="1"/>
  <c r="G121" i="1"/>
  <c r="B121" i="3" s="1"/>
  <c r="G122" i="1"/>
  <c r="B122" i="3" s="1"/>
  <c r="G123" i="1"/>
  <c r="B123" i="3" s="1"/>
  <c r="G124" i="1"/>
  <c r="G125" i="1"/>
  <c r="B125" i="3" s="1"/>
  <c r="G126" i="1"/>
  <c r="B126" i="3" s="1"/>
  <c r="G127" i="1"/>
  <c r="B127" i="3" s="1"/>
  <c r="G128" i="1"/>
  <c r="B128" i="3" s="1"/>
  <c r="G129" i="1"/>
  <c r="B129" i="3" s="1"/>
  <c r="G130" i="1"/>
  <c r="B130" i="3" s="1"/>
  <c r="G131" i="1"/>
  <c r="G132" i="1"/>
  <c r="G133" i="1"/>
  <c r="B133" i="3" s="1"/>
  <c r="G134" i="1"/>
  <c r="B134" i="3" s="1"/>
  <c r="G135" i="1"/>
  <c r="B135" i="3" s="1"/>
  <c r="G136" i="1"/>
  <c r="B136" i="3" s="1"/>
  <c r="G137" i="1"/>
  <c r="B137" i="3" s="1"/>
  <c r="G138" i="1"/>
  <c r="B138" i="3" s="1"/>
  <c r="G139" i="1"/>
  <c r="G140" i="1"/>
  <c r="G141" i="1"/>
  <c r="B141" i="3" s="1"/>
  <c r="G142" i="1"/>
  <c r="B142" i="3" s="1"/>
  <c r="G143" i="1"/>
  <c r="B143" i="3" s="1"/>
  <c r="G144" i="1"/>
  <c r="B144" i="3" s="1"/>
  <c r="G145" i="1"/>
  <c r="B145" i="3" s="1"/>
  <c r="G146" i="1"/>
  <c r="B146" i="3" s="1"/>
  <c r="G147" i="1"/>
  <c r="G148" i="1"/>
  <c r="G149" i="1"/>
  <c r="B149" i="3" s="1"/>
  <c r="G150" i="1"/>
  <c r="B150" i="3" s="1"/>
  <c r="G151" i="1"/>
  <c r="B151" i="3" s="1"/>
  <c r="G152" i="1"/>
  <c r="B152" i="3" s="1"/>
  <c r="G153" i="1"/>
  <c r="B153" i="3" s="1"/>
  <c r="G154" i="1"/>
  <c r="B154" i="3" s="1"/>
  <c r="G155" i="1"/>
  <c r="G156" i="1"/>
  <c r="G157" i="1"/>
  <c r="B157" i="3" s="1"/>
  <c r="G158" i="1"/>
  <c r="B158" i="3" s="1"/>
  <c r="G159" i="1"/>
  <c r="B159" i="3" s="1"/>
  <c r="G160" i="1"/>
  <c r="B160" i="3" s="1"/>
  <c r="G161" i="1"/>
  <c r="B161" i="3" s="1"/>
  <c r="G162" i="1"/>
  <c r="B162" i="3" s="1"/>
  <c r="G163" i="1"/>
  <c r="B163" i="3" s="1"/>
  <c r="G164" i="1"/>
  <c r="G165" i="1"/>
  <c r="B165" i="3" s="1"/>
  <c r="G166" i="1"/>
  <c r="B166" i="3" s="1"/>
  <c r="G167" i="1"/>
  <c r="B167" i="3" s="1"/>
  <c r="G168" i="1"/>
  <c r="B168" i="3" s="1"/>
  <c r="G169" i="1"/>
  <c r="B169" i="3" s="1"/>
  <c r="G170" i="1"/>
  <c r="B170" i="3" s="1"/>
  <c r="G171" i="1"/>
  <c r="B171" i="3" s="1"/>
  <c r="G172" i="1"/>
  <c r="G173" i="1"/>
  <c r="B173" i="3" s="1"/>
  <c r="G174" i="1"/>
  <c r="B174" i="3" s="1"/>
  <c r="G175" i="1"/>
  <c r="B175" i="3" s="1"/>
  <c r="G176" i="1"/>
  <c r="B176" i="3" s="1"/>
  <c r="G177" i="1"/>
  <c r="B177" i="3" s="1"/>
  <c r="G178" i="1"/>
  <c r="B178" i="3" s="1"/>
  <c r="G179" i="1"/>
  <c r="G180" i="1"/>
  <c r="G181" i="1"/>
  <c r="B181" i="3" s="1"/>
  <c r="G182" i="1"/>
  <c r="B182" i="3" s="1"/>
  <c r="G183" i="1"/>
  <c r="B183" i="3" s="1"/>
  <c r="G184" i="1"/>
  <c r="B184" i="3" s="1"/>
  <c r="G185" i="1"/>
  <c r="B185" i="3" s="1"/>
  <c r="G186" i="1"/>
  <c r="B186" i="3" s="1"/>
  <c r="G187" i="1"/>
  <c r="G188" i="1"/>
  <c r="G189" i="1"/>
  <c r="B189" i="3" s="1"/>
  <c r="G190" i="1"/>
  <c r="B190" i="3" s="1"/>
  <c r="G191" i="1"/>
  <c r="B191" i="3" s="1"/>
  <c r="G192" i="1"/>
  <c r="B192" i="3" s="1"/>
  <c r="G193" i="1"/>
  <c r="B193" i="3" s="1"/>
  <c r="G194" i="1"/>
  <c r="B194" i="3" s="1"/>
  <c r="G195" i="1"/>
  <c r="B195" i="3" s="1"/>
  <c r="G196" i="1"/>
  <c r="G197" i="1"/>
  <c r="B197" i="3" s="1"/>
  <c r="G198" i="1"/>
  <c r="B198" i="3" s="1"/>
  <c r="G199" i="1"/>
  <c r="B199" i="3" s="1"/>
  <c r="G200" i="1"/>
  <c r="B200" i="3" s="1"/>
  <c r="G201" i="1"/>
  <c r="B201" i="3" s="1"/>
  <c r="G202" i="1"/>
  <c r="B202" i="3" s="1"/>
  <c r="G203" i="1"/>
  <c r="B203" i="3" s="1"/>
  <c r="G204" i="1"/>
  <c r="G205" i="1"/>
  <c r="B205" i="3" s="1"/>
  <c r="G206" i="1"/>
  <c r="B206" i="3" s="1"/>
  <c r="G207" i="1"/>
  <c r="B207" i="3" s="1"/>
  <c r="G208" i="1"/>
  <c r="B208" i="3" s="1"/>
  <c r="G209" i="1"/>
  <c r="B209" i="3" s="1"/>
  <c r="G210" i="1"/>
  <c r="B210" i="3" s="1"/>
  <c r="G211" i="1"/>
  <c r="G212" i="1"/>
  <c r="G213" i="1"/>
  <c r="B213" i="3" s="1"/>
  <c r="G214" i="1"/>
  <c r="B214" i="3" s="1"/>
  <c r="G215" i="1"/>
  <c r="B215" i="3" s="1"/>
  <c r="G216" i="1"/>
  <c r="B216" i="3" s="1"/>
  <c r="G217" i="1"/>
  <c r="B217" i="3" s="1"/>
  <c r="G218" i="1"/>
  <c r="B218" i="3" s="1"/>
  <c r="G219" i="1"/>
  <c r="G220" i="1"/>
  <c r="G221" i="1"/>
  <c r="B221" i="3" s="1"/>
  <c r="G222" i="1"/>
  <c r="B222" i="3" s="1"/>
  <c r="G223" i="1"/>
  <c r="B223" i="3" s="1"/>
  <c r="G224" i="1"/>
  <c r="B224" i="3" s="1"/>
  <c r="G225" i="1"/>
  <c r="B225" i="3" s="1"/>
  <c r="G226" i="1"/>
  <c r="B226" i="3" s="1"/>
  <c r="G227" i="1"/>
  <c r="B227" i="3" s="1"/>
  <c r="G228" i="1"/>
  <c r="G229" i="1"/>
  <c r="B229" i="3" s="1"/>
  <c r="G230" i="1"/>
  <c r="B230" i="3" s="1"/>
  <c r="G231" i="1"/>
  <c r="B231" i="3" s="1"/>
  <c r="G232" i="1"/>
  <c r="B232" i="3" s="1"/>
  <c r="G233" i="1"/>
  <c r="B233" i="3" s="1"/>
  <c r="G234" i="1"/>
  <c r="B234" i="3" s="1"/>
  <c r="G235" i="1"/>
  <c r="B235" i="3" s="1"/>
  <c r="G236" i="1"/>
  <c r="G237" i="1"/>
  <c r="B237" i="3" s="1"/>
  <c r="G238" i="1"/>
  <c r="B238" i="3" s="1"/>
  <c r="G239" i="1"/>
  <c r="B239" i="3" s="1"/>
  <c r="G240" i="1"/>
  <c r="B240" i="3" s="1"/>
  <c r="G241" i="1"/>
  <c r="B241" i="3" s="1"/>
  <c r="G242" i="1"/>
  <c r="B242" i="3" s="1"/>
  <c r="G243" i="1"/>
  <c r="G244" i="1"/>
  <c r="G245" i="1"/>
  <c r="B245" i="3" s="1"/>
  <c r="G246" i="1"/>
  <c r="B246" i="3" s="1"/>
  <c r="G247" i="1"/>
  <c r="B247" i="3" s="1"/>
  <c r="G248" i="1"/>
  <c r="B248" i="3" s="1"/>
  <c r="G249" i="1"/>
  <c r="B249" i="3" s="1"/>
  <c r="G250" i="1"/>
  <c r="B250" i="3" s="1"/>
  <c r="G251" i="1"/>
  <c r="G252" i="1"/>
  <c r="G253" i="1"/>
  <c r="B253" i="3" s="1"/>
  <c r="G254" i="1"/>
  <c r="B254" i="3" s="1"/>
  <c r="G255" i="1"/>
  <c r="B255" i="3" s="1"/>
  <c r="G256" i="1"/>
  <c r="B256" i="3" s="1"/>
  <c r="G257" i="1"/>
  <c r="B257" i="3" s="1"/>
  <c r="G258" i="1"/>
  <c r="B258" i="3" s="1"/>
  <c r="G259" i="1"/>
  <c r="B259" i="3" s="1"/>
  <c r="G260" i="1"/>
  <c r="G261" i="1"/>
  <c r="B261" i="3" s="1"/>
  <c r="G262" i="1"/>
  <c r="B262" i="3" s="1"/>
  <c r="G263" i="1"/>
  <c r="B263" i="3" s="1"/>
  <c r="G264" i="1"/>
  <c r="B264" i="3" s="1"/>
  <c r="G265" i="1"/>
  <c r="B265" i="3" s="1"/>
  <c r="G266" i="1"/>
  <c r="B266" i="3" s="1"/>
  <c r="G267" i="1"/>
  <c r="B267" i="3" s="1"/>
  <c r="G268" i="1"/>
  <c r="G269" i="1"/>
  <c r="B269" i="3" s="1"/>
  <c r="G270" i="1"/>
  <c r="B270" i="3" s="1"/>
  <c r="G3" i="1"/>
  <c r="B3" i="3" s="1"/>
  <c r="H4" i="1"/>
  <c r="C4" i="3" s="1"/>
  <c r="H5" i="1"/>
  <c r="C5" i="3" s="1"/>
  <c r="H6" i="1"/>
  <c r="C6" i="3" s="1"/>
  <c r="H7" i="1"/>
  <c r="H8" i="1"/>
  <c r="C8" i="3" s="1"/>
  <c r="H9" i="1"/>
  <c r="C9" i="3" s="1"/>
  <c r="H10" i="1"/>
  <c r="C10" i="3" s="1"/>
  <c r="H11" i="1"/>
  <c r="C11" i="3" s="1"/>
  <c r="H12" i="1"/>
  <c r="C12" i="3" s="1"/>
  <c r="H13" i="1"/>
  <c r="C13" i="3" s="1"/>
  <c r="H14" i="1"/>
  <c r="C14" i="3" s="1"/>
  <c r="H15" i="1"/>
  <c r="H16" i="1"/>
  <c r="H17" i="1"/>
  <c r="C17" i="3" s="1"/>
  <c r="H18" i="1"/>
  <c r="C18" i="3" s="1"/>
  <c r="H19" i="1"/>
  <c r="C19" i="3" s="1"/>
  <c r="H20" i="1"/>
  <c r="C20" i="3" s="1"/>
  <c r="H21" i="1"/>
  <c r="C21" i="3" s="1"/>
  <c r="H22" i="1"/>
  <c r="C22" i="3" s="1"/>
  <c r="H23" i="1"/>
  <c r="H24" i="1"/>
  <c r="H25" i="1"/>
  <c r="C25" i="3" s="1"/>
  <c r="H26" i="1"/>
  <c r="C26" i="3" s="1"/>
  <c r="H27" i="1"/>
  <c r="C27" i="3" s="1"/>
  <c r="H28" i="1"/>
  <c r="C28" i="3" s="1"/>
  <c r="H29" i="1"/>
  <c r="C29" i="3" s="1"/>
  <c r="H30" i="1"/>
  <c r="C30" i="3" s="1"/>
  <c r="H31" i="1"/>
  <c r="H32" i="1"/>
  <c r="H33" i="1"/>
  <c r="C33" i="3" s="1"/>
  <c r="H34" i="1"/>
  <c r="C34" i="3" s="1"/>
  <c r="H35" i="1"/>
  <c r="C35" i="3" s="1"/>
  <c r="H36" i="1"/>
  <c r="C36" i="3" s="1"/>
  <c r="H37" i="1"/>
  <c r="C37" i="3" s="1"/>
  <c r="H38" i="1"/>
  <c r="C38" i="3" s="1"/>
  <c r="H39" i="1"/>
  <c r="H40" i="1"/>
  <c r="H41" i="1"/>
  <c r="C41" i="3" s="1"/>
  <c r="H42" i="1"/>
  <c r="C42" i="3" s="1"/>
  <c r="H43" i="1"/>
  <c r="C43" i="3" s="1"/>
  <c r="H44" i="1"/>
  <c r="C44" i="3" s="1"/>
  <c r="H45" i="1"/>
  <c r="C45" i="3" s="1"/>
  <c r="H46" i="1"/>
  <c r="C46" i="3" s="1"/>
  <c r="H47" i="1"/>
  <c r="H48" i="1"/>
  <c r="C48" i="3" s="1"/>
  <c r="H49" i="1"/>
  <c r="C49" i="3" s="1"/>
  <c r="H50" i="1"/>
  <c r="C50" i="3" s="1"/>
  <c r="H51" i="1"/>
  <c r="C51" i="3" s="1"/>
  <c r="H52" i="1"/>
  <c r="C52" i="3" s="1"/>
  <c r="H53" i="1"/>
  <c r="C53" i="3" s="1"/>
  <c r="H54" i="1"/>
  <c r="C54" i="3" s="1"/>
  <c r="H55" i="1"/>
  <c r="H56" i="1"/>
  <c r="C56" i="3" s="1"/>
  <c r="H57" i="1"/>
  <c r="C57" i="3" s="1"/>
  <c r="H58" i="1"/>
  <c r="C58" i="3" s="1"/>
  <c r="H59" i="1"/>
  <c r="C59" i="3" s="1"/>
  <c r="H60" i="1"/>
  <c r="C60" i="3" s="1"/>
  <c r="H61" i="1"/>
  <c r="C61" i="3" s="1"/>
  <c r="H62" i="1"/>
  <c r="C62" i="3" s="1"/>
  <c r="H63" i="1"/>
  <c r="H64" i="1"/>
  <c r="C64" i="3" s="1"/>
  <c r="H65" i="1"/>
  <c r="C65" i="3" s="1"/>
  <c r="H66" i="1"/>
  <c r="C66" i="3" s="1"/>
  <c r="H67" i="1"/>
  <c r="C67" i="3" s="1"/>
  <c r="H68" i="1"/>
  <c r="C68" i="3" s="1"/>
  <c r="H69" i="1"/>
  <c r="C69" i="3" s="1"/>
  <c r="H70" i="1"/>
  <c r="C70" i="3" s="1"/>
  <c r="H71" i="1"/>
  <c r="H72" i="1"/>
  <c r="C72" i="3" s="1"/>
  <c r="H73" i="1"/>
  <c r="C73" i="3" s="1"/>
  <c r="H74" i="1"/>
  <c r="C74" i="3" s="1"/>
  <c r="H75" i="1"/>
  <c r="C75" i="3" s="1"/>
  <c r="H76" i="1"/>
  <c r="C76" i="3" s="1"/>
  <c r="H77" i="1"/>
  <c r="C77" i="3" s="1"/>
  <c r="H78" i="1"/>
  <c r="C78" i="3" s="1"/>
  <c r="H79" i="1"/>
  <c r="H80" i="1"/>
  <c r="H81" i="1"/>
  <c r="C81" i="3" s="1"/>
  <c r="H82" i="1"/>
  <c r="C82" i="3" s="1"/>
  <c r="H83" i="1"/>
  <c r="C83" i="3" s="1"/>
  <c r="H84" i="1"/>
  <c r="C84" i="3" s="1"/>
  <c r="H85" i="1"/>
  <c r="C85" i="3" s="1"/>
  <c r="H86" i="1"/>
  <c r="C86" i="3" s="1"/>
  <c r="H87" i="1"/>
  <c r="H88" i="1"/>
  <c r="H89" i="1"/>
  <c r="C89" i="3" s="1"/>
  <c r="H90" i="1"/>
  <c r="C90" i="3" s="1"/>
  <c r="H91" i="1"/>
  <c r="C91" i="3" s="1"/>
  <c r="H92" i="1"/>
  <c r="C92" i="3" s="1"/>
  <c r="H93" i="1"/>
  <c r="C93" i="3" s="1"/>
  <c r="H94" i="1"/>
  <c r="C94" i="3" s="1"/>
  <c r="H95" i="1"/>
  <c r="H96" i="1"/>
  <c r="H97" i="1"/>
  <c r="C97" i="3" s="1"/>
  <c r="H98" i="1"/>
  <c r="C98" i="3" s="1"/>
  <c r="H99" i="1"/>
  <c r="C99" i="3" s="1"/>
  <c r="H100" i="1"/>
  <c r="C100" i="3" s="1"/>
  <c r="H101" i="1"/>
  <c r="C101" i="3" s="1"/>
  <c r="H102" i="1"/>
  <c r="C102" i="3" s="1"/>
  <c r="H103" i="1"/>
  <c r="H104" i="1"/>
  <c r="H105" i="1"/>
  <c r="C105" i="3" s="1"/>
  <c r="H106" i="1"/>
  <c r="C106" i="3" s="1"/>
  <c r="H107" i="1"/>
  <c r="C107" i="3" s="1"/>
  <c r="H108" i="1"/>
  <c r="C108" i="3" s="1"/>
  <c r="H109" i="1"/>
  <c r="C109" i="3" s="1"/>
  <c r="H110" i="1"/>
  <c r="C110" i="3" s="1"/>
  <c r="H111" i="1"/>
  <c r="H112" i="1"/>
  <c r="C112" i="3" s="1"/>
  <c r="H113" i="1"/>
  <c r="C113" i="3" s="1"/>
  <c r="H114" i="1"/>
  <c r="C114" i="3" s="1"/>
  <c r="H115" i="1"/>
  <c r="C115" i="3" s="1"/>
  <c r="H116" i="1"/>
  <c r="C116" i="3" s="1"/>
  <c r="H117" i="1"/>
  <c r="C117" i="3" s="1"/>
  <c r="H118" i="1"/>
  <c r="C118" i="3" s="1"/>
  <c r="H119" i="1"/>
  <c r="H120" i="1"/>
  <c r="C120" i="3" s="1"/>
  <c r="H121" i="1"/>
  <c r="C121" i="3" s="1"/>
  <c r="H122" i="1"/>
  <c r="C122" i="3" s="1"/>
  <c r="H123" i="1"/>
  <c r="C123" i="3" s="1"/>
  <c r="H124" i="1"/>
  <c r="C124" i="3" s="1"/>
  <c r="H125" i="1"/>
  <c r="C125" i="3" s="1"/>
  <c r="H126" i="1"/>
  <c r="C126" i="3" s="1"/>
  <c r="H127" i="1"/>
  <c r="H128" i="1"/>
  <c r="C128" i="3" s="1"/>
  <c r="H129" i="1"/>
  <c r="C129" i="3" s="1"/>
  <c r="H130" i="1"/>
  <c r="C130" i="3" s="1"/>
  <c r="H131" i="1"/>
  <c r="C131" i="3" s="1"/>
  <c r="H132" i="1"/>
  <c r="C132" i="3" s="1"/>
  <c r="H133" i="1"/>
  <c r="C133" i="3" s="1"/>
  <c r="H134" i="1"/>
  <c r="C134" i="3" s="1"/>
  <c r="H135" i="1"/>
  <c r="H136" i="1"/>
  <c r="C136" i="3" s="1"/>
  <c r="H137" i="1"/>
  <c r="C137" i="3" s="1"/>
  <c r="H138" i="1"/>
  <c r="C138" i="3" s="1"/>
  <c r="H139" i="1"/>
  <c r="C139" i="3" s="1"/>
  <c r="H140" i="1"/>
  <c r="C140" i="3" s="1"/>
  <c r="H141" i="1"/>
  <c r="C141" i="3" s="1"/>
  <c r="H142" i="1"/>
  <c r="C142" i="3" s="1"/>
  <c r="H143" i="1"/>
  <c r="H144" i="1"/>
  <c r="H145" i="1"/>
  <c r="C145" i="3" s="1"/>
  <c r="H146" i="1"/>
  <c r="C146" i="3" s="1"/>
  <c r="H147" i="1"/>
  <c r="C147" i="3" s="1"/>
  <c r="H148" i="1"/>
  <c r="C148" i="3" s="1"/>
  <c r="H149" i="1"/>
  <c r="C149" i="3" s="1"/>
  <c r="H150" i="1"/>
  <c r="C150" i="3" s="1"/>
  <c r="H151" i="1"/>
  <c r="H152" i="1"/>
  <c r="H153" i="1"/>
  <c r="C153" i="3" s="1"/>
  <c r="H154" i="1"/>
  <c r="C154" i="3" s="1"/>
  <c r="H155" i="1"/>
  <c r="C155" i="3" s="1"/>
  <c r="H156" i="1"/>
  <c r="C156" i="3" s="1"/>
  <c r="H157" i="1"/>
  <c r="C157" i="3" s="1"/>
  <c r="H158" i="1"/>
  <c r="C158" i="3" s="1"/>
  <c r="H159" i="1"/>
  <c r="H160" i="1"/>
  <c r="H161" i="1"/>
  <c r="C161" i="3" s="1"/>
  <c r="H162" i="1"/>
  <c r="C162" i="3" s="1"/>
  <c r="H163" i="1"/>
  <c r="C163" i="3" s="1"/>
  <c r="H164" i="1"/>
  <c r="C164" i="3" s="1"/>
  <c r="H165" i="1"/>
  <c r="C165" i="3" s="1"/>
  <c r="H166" i="1"/>
  <c r="C166" i="3" s="1"/>
  <c r="H167" i="1"/>
  <c r="H168" i="1"/>
  <c r="H169" i="1"/>
  <c r="C169" i="3" s="1"/>
  <c r="H170" i="1"/>
  <c r="C170" i="3" s="1"/>
  <c r="H171" i="1"/>
  <c r="C171" i="3" s="1"/>
  <c r="H172" i="1"/>
  <c r="C172" i="3" s="1"/>
  <c r="H173" i="1"/>
  <c r="C173" i="3" s="1"/>
  <c r="H174" i="1"/>
  <c r="C174" i="3" s="1"/>
  <c r="H175" i="1"/>
  <c r="H176" i="1"/>
  <c r="C176" i="3" s="1"/>
  <c r="H177" i="1"/>
  <c r="C177" i="3" s="1"/>
  <c r="H178" i="1"/>
  <c r="C178" i="3" s="1"/>
  <c r="H179" i="1"/>
  <c r="C179" i="3" s="1"/>
  <c r="H180" i="1"/>
  <c r="C180" i="3" s="1"/>
  <c r="H181" i="1"/>
  <c r="C181" i="3" s="1"/>
  <c r="H182" i="1"/>
  <c r="C182" i="3" s="1"/>
  <c r="H183" i="1"/>
  <c r="H184" i="1"/>
  <c r="C184" i="3" s="1"/>
  <c r="H185" i="1"/>
  <c r="C185" i="3" s="1"/>
  <c r="H186" i="1"/>
  <c r="C186" i="3" s="1"/>
  <c r="H187" i="1"/>
  <c r="C187" i="3" s="1"/>
  <c r="H188" i="1"/>
  <c r="C188" i="3" s="1"/>
  <c r="H189" i="1"/>
  <c r="C189" i="3" s="1"/>
  <c r="H190" i="1"/>
  <c r="C190" i="3" s="1"/>
  <c r="H191" i="1"/>
  <c r="H192" i="1"/>
  <c r="C192" i="3" s="1"/>
  <c r="H193" i="1"/>
  <c r="C193" i="3" s="1"/>
  <c r="H194" i="1"/>
  <c r="C194" i="3" s="1"/>
  <c r="H195" i="1"/>
  <c r="C195" i="3" s="1"/>
  <c r="H196" i="1"/>
  <c r="C196" i="3" s="1"/>
  <c r="H197" i="1"/>
  <c r="C197" i="3" s="1"/>
  <c r="H198" i="1"/>
  <c r="C198" i="3" s="1"/>
  <c r="H199" i="1"/>
  <c r="H200" i="1"/>
  <c r="C200" i="3" s="1"/>
  <c r="H201" i="1"/>
  <c r="C201" i="3" s="1"/>
  <c r="H202" i="1"/>
  <c r="C202" i="3" s="1"/>
  <c r="H203" i="1"/>
  <c r="C203" i="3" s="1"/>
  <c r="H204" i="1"/>
  <c r="C204" i="3" s="1"/>
  <c r="H205" i="1"/>
  <c r="C205" i="3" s="1"/>
  <c r="H206" i="1"/>
  <c r="C206" i="3" s="1"/>
  <c r="H207" i="1"/>
  <c r="H208" i="1"/>
  <c r="H209" i="1"/>
  <c r="C209" i="3" s="1"/>
  <c r="H210" i="1"/>
  <c r="C210" i="3" s="1"/>
  <c r="H211" i="1"/>
  <c r="C211" i="3" s="1"/>
  <c r="H212" i="1"/>
  <c r="C212" i="3" s="1"/>
  <c r="H213" i="1"/>
  <c r="C213" i="3" s="1"/>
  <c r="H214" i="1"/>
  <c r="C214" i="3" s="1"/>
  <c r="H215" i="1"/>
  <c r="H216" i="1"/>
  <c r="H217" i="1"/>
  <c r="C217" i="3" s="1"/>
  <c r="H218" i="1"/>
  <c r="C218" i="3" s="1"/>
  <c r="H219" i="1"/>
  <c r="C219" i="3" s="1"/>
  <c r="H220" i="1"/>
  <c r="C220" i="3" s="1"/>
  <c r="H221" i="1"/>
  <c r="C221" i="3" s="1"/>
  <c r="H222" i="1"/>
  <c r="C222" i="3" s="1"/>
  <c r="H223" i="1"/>
  <c r="H224" i="1"/>
  <c r="H225" i="1"/>
  <c r="C225" i="3" s="1"/>
  <c r="H226" i="1"/>
  <c r="C226" i="3" s="1"/>
  <c r="H227" i="1"/>
  <c r="C227" i="3" s="1"/>
  <c r="H228" i="1"/>
  <c r="C228" i="3" s="1"/>
  <c r="H229" i="1"/>
  <c r="C229" i="3" s="1"/>
  <c r="H230" i="1"/>
  <c r="C230" i="3" s="1"/>
  <c r="H231" i="1"/>
  <c r="H232" i="1"/>
  <c r="H233" i="1"/>
  <c r="C233" i="3" s="1"/>
  <c r="H234" i="1"/>
  <c r="C234" i="3" s="1"/>
  <c r="H235" i="1"/>
  <c r="C235" i="3" s="1"/>
  <c r="H236" i="1"/>
  <c r="C236" i="3" s="1"/>
  <c r="H237" i="1"/>
  <c r="C237" i="3" s="1"/>
  <c r="H238" i="1"/>
  <c r="C238" i="3" s="1"/>
  <c r="H239" i="1"/>
  <c r="H240" i="1"/>
  <c r="C240" i="3" s="1"/>
  <c r="H241" i="1"/>
  <c r="C241" i="3" s="1"/>
  <c r="H242" i="1"/>
  <c r="C242" i="3" s="1"/>
  <c r="H243" i="1"/>
  <c r="C243" i="3" s="1"/>
  <c r="H244" i="1"/>
  <c r="C244" i="3" s="1"/>
  <c r="H245" i="1"/>
  <c r="C245" i="3" s="1"/>
  <c r="H246" i="1"/>
  <c r="C246" i="3" s="1"/>
  <c r="H247" i="1"/>
  <c r="H248" i="1"/>
  <c r="C248" i="3" s="1"/>
  <c r="H249" i="1"/>
  <c r="C249" i="3" s="1"/>
  <c r="H250" i="1"/>
  <c r="C250" i="3" s="1"/>
  <c r="H251" i="1"/>
  <c r="C251" i="3" s="1"/>
  <c r="H252" i="1"/>
  <c r="C252" i="3" s="1"/>
  <c r="H253" i="1"/>
  <c r="C253" i="3" s="1"/>
  <c r="H254" i="1"/>
  <c r="C254" i="3" s="1"/>
  <c r="H255" i="1"/>
  <c r="H256" i="1"/>
  <c r="C256" i="3" s="1"/>
  <c r="H257" i="1"/>
  <c r="C257" i="3" s="1"/>
  <c r="H258" i="1"/>
  <c r="C258" i="3" s="1"/>
  <c r="H259" i="1"/>
  <c r="H260" i="1"/>
  <c r="C260" i="3" s="1"/>
  <c r="H261" i="1"/>
  <c r="C261" i="3" s="1"/>
  <c r="H262" i="1"/>
  <c r="C262" i="3" s="1"/>
  <c r="H263" i="1"/>
  <c r="H264" i="1"/>
  <c r="C264" i="3" s="1"/>
  <c r="H265" i="1"/>
  <c r="C265" i="3" s="1"/>
  <c r="H266" i="1"/>
  <c r="C266" i="3" s="1"/>
  <c r="H267" i="1"/>
  <c r="C267" i="3" s="1"/>
  <c r="H268" i="1"/>
  <c r="C268" i="3" s="1"/>
  <c r="H269" i="1"/>
  <c r="C269" i="3" s="1"/>
  <c r="H270" i="1"/>
  <c r="C270" i="3" s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3" i="1"/>
  <c r="D270" i="3" l="1"/>
  <c r="B270" i="10"/>
  <c r="B270" i="9"/>
  <c r="D262" i="3"/>
  <c r="B262" i="10"/>
  <c r="B262" i="9"/>
  <c r="D254" i="3"/>
  <c r="B254" i="10"/>
  <c r="B254" i="9"/>
  <c r="D246" i="3"/>
  <c r="B246" i="10"/>
  <c r="B246" i="9"/>
  <c r="D238" i="3"/>
  <c r="B238" i="10"/>
  <c r="B238" i="9"/>
  <c r="D230" i="3"/>
  <c r="B230" i="10"/>
  <c r="B230" i="9"/>
  <c r="D222" i="3"/>
  <c r="B222" i="10"/>
  <c r="B222" i="9"/>
  <c r="D214" i="3"/>
  <c r="B214" i="10"/>
  <c r="B214" i="9"/>
  <c r="D206" i="3"/>
  <c r="B206" i="10"/>
  <c r="B206" i="9"/>
  <c r="D198" i="3"/>
  <c r="B198" i="10"/>
  <c r="B198" i="9"/>
  <c r="D190" i="3"/>
  <c r="B190" i="10"/>
  <c r="B190" i="9"/>
  <c r="D182" i="3"/>
  <c r="B182" i="10"/>
  <c r="B182" i="9"/>
  <c r="D174" i="3"/>
  <c r="B174" i="10"/>
  <c r="B174" i="9"/>
  <c r="D166" i="3"/>
  <c r="B166" i="10"/>
  <c r="B166" i="9"/>
  <c r="D158" i="3"/>
  <c r="B158" i="10"/>
  <c r="B158" i="9"/>
  <c r="D150" i="3"/>
  <c r="B150" i="10"/>
  <c r="B150" i="9"/>
  <c r="D142" i="3"/>
  <c r="B142" i="10"/>
  <c r="B142" i="9"/>
  <c r="D134" i="3"/>
  <c r="B134" i="10"/>
  <c r="B134" i="9"/>
  <c r="D126" i="3"/>
  <c r="B126" i="10"/>
  <c r="B126" i="9"/>
  <c r="D118" i="3"/>
  <c r="B118" i="10"/>
  <c r="B118" i="9"/>
  <c r="D110" i="3"/>
  <c r="B110" i="10"/>
  <c r="B110" i="9"/>
  <c r="D102" i="3"/>
  <c r="B102" i="10"/>
  <c r="B102" i="9"/>
  <c r="D94" i="3"/>
  <c r="B94" i="10"/>
  <c r="B94" i="9"/>
  <c r="D86" i="3"/>
  <c r="B86" i="10"/>
  <c r="B86" i="9"/>
  <c r="D78" i="3"/>
  <c r="B78" i="10"/>
  <c r="B78" i="9"/>
  <c r="D70" i="3"/>
  <c r="B70" i="10"/>
  <c r="B70" i="9"/>
  <c r="D62" i="3"/>
  <c r="B62" i="10"/>
  <c r="B62" i="9"/>
  <c r="D54" i="3"/>
  <c r="B54" i="10"/>
  <c r="B54" i="9"/>
  <c r="D46" i="3"/>
  <c r="B46" i="10"/>
  <c r="B46" i="9"/>
  <c r="D38" i="3"/>
  <c r="B38" i="10"/>
  <c r="B38" i="9"/>
  <c r="D30" i="3"/>
  <c r="B30" i="10"/>
  <c r="B30" i="9"/>
  <c r="D22" i="3"/>
  <c r="B22" i="10"/>
  <c r="B22" i="9"/>
  <c r="D14" i="3"/>
  <c r="B14" i="10"/>
  <c r="B14" i="9"/>
  <c r="D6" i="3"/>
  <c r="B6" i="10"/>
  <c r="B6" i="9"/>
  <c r="D269" i="3"/>
  <c r="B269" i="10"/>
  <c r="B269" i="9"/>
  <c r="D253" i="3"/>
  <c r="B253" i="10"/>
  <c r="B253" i="9"/>
  <c r="D237" i="3"/>
  <c r="B237" i="10"/>
  <c r="B237" i="9"/>
  <c r="D221" i="3"/>
  <c r="B221" i="10"/>
  <c r="B221" i="9"/>
  <c r="D205" i="3"/>
  <c r="B205" i="10"/>
  <c r="B205" i="9"/>
  <c r="D189" i="3"/>
  <c r="B189" i="10"/>
  <c r="B189" i="9"/>
  <c r="D173" i="3"/>
  <c r="B173" i="10"/>
  <c r="B173" i="9"/>
  <c r="D157" i="3"/>
  <c r="B157" i="10"/>
  <c r="B157" i="9"/>
  <c r="D133" i="3"/>
  <c r="B133" i="10"/>
  <c r="B133" i="9"/>
  <c r="D117" i="3"/>
  <c r="B117" i="10"/>
  <c r="B117" i="9"/>
  <c r="D101" i="3"/>
  <c r="B101" i="10"/>
  <c r="B101" i="9"/>
  <c r="D93" i="3"/>
  <c r="B93" i="10"/>
  <c r="B93" i="9"/>
  <c r="D77" i="3"/>
  <c r="B77" i="10"/>
  <c r="B77" i="9"/>
  <c r="D69" i="3"/>
  <c r="B69" i="10"/>
  <c r="B69" i="9"/>
  <c r="D45" i="3"/>
  <c r="B45" i="10"/>
  <c r="B45" i="9"/>
  <c r="D29" i="3"/>
  <c r="B29" i="10"/>
  <c r="B29" i="9"/>
  <c r="D21" i="3"/>
  <c r="B21" i="10"/>
  <c r="B21" i="9"/>
  <c r="D5" i="3"/>
  <c r="B5" i="10"/>
  <c r="B5" i="9"/>
  <c r="B93" i="3"/>
  <c r="B85" i="3"/>
  <c r="D267" i="3"/>
  <c r="B267" i="10"/>
  <c r="B267" i="9"/>
  <c r="B259" i="10"/>
  <c r="B259" i="9"/>
  <c r="D251" i="3"/>
  <c r="B251" i="10"/>
  <c r="B251" i="9"/>
  <c r="D243" i="3"/>
  <c r="B243" i="10"/>
  <c r="B243" i="9"/>
  <c r="D235" i="3"/>
  <c r="B235" i="10"/>
  <c r="B235" i="9"/>
  <c r="D227" i="3"/>
  <c r="B227" i="10"/>
  <c r="B227" i="9"/>
  <c r="D219" i="3"/>
  <c r="B219" i="10"/>
  <c r="B219" i="9"/>
  <c r="D211" i="3"/>
  <c r="B211" i="10"/>
  <c r="B211" i="9"/>
  <c r="D203" i="3"/>
  <c r="B203" i="10"/>
  <c r="B203" i="9"/>
  <c r="D195" i="3"/>
  <c r="B195" i="10"/>
  <c r="B195" i="9"/>
  <c r="D187" i="3"/>
  <c r="B187" i="10"/>
  <c r="B187" i="9"/>
  <c r="D179" i="3"/>
  <c r="B179" i="10"/>
  <c r="B179" i="9"/>
  <c r="D171" i="3"/>
  <c r="B171" i="10"/>
  <c r="B171" i="9"/>
  <c r="D163" i="3"/>
  <c r="B163" i="10"/>
  <c r="B163" i="9"/>
  <c r="D155" i="3"/>
  <c r="B155" i="10"/>
  <c r="B155" i="9"/>
  <c r="D147" i="3"/>
  <c r="B147" i="10"/>
  <c r="B147" i="9"/>
  <c r="D139" i="3"/>
  <c r="B139" i="10"/>
  <c r="B139" i="9"/>
  <c r="D131" i="3"/>
  <c r="B131" i="10"/>
  <c r="B131" i="9"/>
  <c r="D123" i="3"/>
  <c r="B123" i="10"/>
  <c r="B123" i="9"/>
  <c r="D115" i="3"/>
  <c r="B115" i="10"/>
  <c r="B115" i="9"/>
  <c r="D107" i="3"/>
  <c r="B107" i="10"/>
  <c r="B107" i="9"/>
  <c r="D99" i="3"/>
  <c r="B99" i="10"/>
  <c r="B99" i="9"/>
  <c r="D91" i="3"/>
  <c r="B91" i="10"/>
  <c r="B91" i="9"/>
  <c r="D83" i="3"/>
  <c r="B83" i="10"/>
  <c r="B83" i="9"/>
  <c r="D75" i="3"/>
  <c r="B75" i="9"/>
  <c r="B75" i="10"/>
  <c r="D67" i="3"/>
  <c r="B67" i="10"/>
  <c r="B67" i="9"/>
  <c r="D59" i="3"/>
  <c r="B59" i="10"/>
  <c r="B59" i="9"/>
  <c r="D51" i="3"/>
  <c r="B51" i="10"/>
  <c r="B51" i="9"/>
  <c r="D43" i="3"/>
  <c r="B43" i="10"/>
  <c r="B43" i="9"/>
  <c r="D35" i="3"/>
  <c r="B35" i="10"/>
  <c r="B35" i="9"/>
  <c r="D27" i="3"/>
  <c r="B27" i="10"/>
  <c r="B27" i="9"/>
  <c r="D19" i="3"/>
  <c r="B19" i="10"/>
  <c r="B19" i="9"/>
  <c r="D11" i="3"/>
  <c r="B11" i="10"/>
  <c r="B11" i="9"/>
  <c r="D250" i="3"/>
  <c r="B250" i="9"/>
  <c r="B250" i="10"/>
  <c r="D234" i="3"/>
  <c r="B234" i="9"/>
  <c r="B234" i="10"/>
  <c r="D218" i="3"/>
  <c r="B218" i="9"/>
  <c r="B218" i="10"/>
  <c r="D194" i="3"/>
  <c r="B194" i="9"/>
  <c r="B194" i="10"/>
  <c r="D178" i="3"/>
  <c r="B178" i="9"/>
  <c r="B178" i="10"/>
  <c r="D162" i="3"/>
  <c r="B162" i="9"/>
  <c r="B162" i="10"/>
  <c r="D146" i="3"/>
  <c r="B146" i="9"/>
  <c r="B146" i="10"/>
  <c r="D130" i="3"/>
  <c r="B130" i="9"/>
  <c r="B130" i="10"/>
  <c r="D114" i="3"/>
  <c r="B114" i="9"/>
  <c r="B114" i="10"/>
  <c r="D82" i="3"/>
  <c r="B82" i="9"/>
  <c r="B82" i="10"/>
  <c r="D18" i="3"/>
  <c r="B18" i="9"/>
  <c r="B18" i="10"/>
  <c r="D265" i="3"/>
  <c r="B265" i="9"/>
  <c r="B265" i="10"/>
  <c r="D257" i="3"/>
  <c r="B257" i="9"/>
  <c r="B257" i="10"/>
  <c r="D249" i="3"/>
  <c r="B249" i="9"/>
  <c r="B249" i="10"/>
  <c r="D241" i="3"/>
  <c r="B241" i="9"/>
  <c r="B241" i="10"/>
  <c r="D233" i="3"/>
  <c r="B233" i="9"/>
  <c r="B233" i="10"/>
  <c r="D225" i="3"/>
  <c r="B225" i="9"/>
  <c r="B225" i="10"/>
  <c r="D217" i="3"/>
  <c r="B217" i="9"/>
  <c r="B217" i="10"/>
  <c r="D209" i="3"/>
  <c r="B209" i="9"/>
  <c r="B209" i="10"/>
  <c r="D201" i="3"/>
  <c r="B201" i="9"/>
  <c r="B201" i="10"/>
  <c r="D193" i="3"/>
  <c r="B193" i="9"/>
  <c r="B193" i="10"/>
  <c r="D185" i="3"/>
  <c r="B185" i="9"/>
  <c r="B185" i="10"/>
  <c r="D177" i="3"/>
  <c r="B177" i="9"/>
  <c r="B177" i="10"/>
  <c r="D169" i="3"/>
  <c r="B169" i="9"/>
  <c r="B169" i="10"/>
  <c r="D161" i="3"/>
  <c r="B161" i="9"/>
  <c r="B161" i="10"/>
  <c r="D153" i="3"/>
  <c r="B153" i="9"/>
  <c r="B153" i="10"/>
  <c r="D145" i="3"/>
  <c r="B145" i="9"/>
  <c r="B145" i="10"/>
  <c r="D137" i="3"/>
  <c r="B137" i="9"/>
  <c r="B137" i="10"/>
  <c r="D129" i="3"/>
  <c r="B129" i="9"/>
  <c r="B129" i="10"/>
  <c r="D121" i="3"/>
  <c r="B121" i="9"/>
  <c r="B121" i="10"/>
  <c r="D113" i="3"/>
  <c r="B113" i="9"/>
  <c r="B113" i="10"/>
  <c r="D105" i="3"/>
  <c r="B105" i="9"/>
  <c r="B105" i="10"/>
  <c r="D97" i="3"/>
  <c r="B97" i="9"/>
  <c r="B97" i="10"/>
  <c r="D89" i="3"/>
  <c r="B89" i="9"/>
  <c r="B89" i="10"/>
  <c r="D81" i="3"/>
  <c r="B81" i="9"/>
  <c r="B81" i="10"/>
  <c r="D73" i="3"/>
  <c r="B73" i="9"/>
  <c r="B73" i="10"/>
  <c r="D65" i="3"/>
  <c r="B65" i="9"/>
  <c r="B65" i="10"/>
  <c r="D57" i="3"/>
  <c r="B57" i="9"/>
  <c r="B57" i="10"/>
  <c r="D49" i="3"/>
  <c r="B49" i="9"/>
  <c r="B49" i="10"/>
  <c r="D41" i="3"/>
  <c r="B41" i="9"/>
  <c r="B41" i="10"/>
  <c r="D33" i="3"/>
  <c r="B33" i="9"/>
  <c r="B33" i="10"/>
  <c r="D25" i="3"/>
  <c r="B25" i="9"/>
  <c r="B25" i="10"/>
  <c r="D17" i="3"/>
  <c r="B17" i="9"/>
  <c r="B17" i="10"/>
  <c r="D9" i="3"/>
  <c r="B9" i="9"/>
  <c r="B9" i="10"/>
  <c r="D26" i="3"/>
  <c r="B26" i="9"/>
  <c r="B26" i="10"/>
  <c r="D210" i="3"/>
  <c r="B210" i="9"/>
  <c r="B210" i="10"/>
  <c r="D232" i="3"/>
  <c r="B232" i="10"/>
  <c r="B232" i="9"/>
  <c r="D160" i="3"/>
  <c r="B160" i="10"/>
  <c r="B160" i="9"/>
  <c r="D266" i="3"/>
  <c r="B266" i="9"/>
  <c r="B266" i="10"/>
  <c r="D258" i="3"/>
  <c r="B258" i="9"/>
  <c r="B258" i="10"/>
  <c r="D242" i="3"/>
  <c r="B242" i="9"/>
  <c r="B242" i="10"/>
  <c r="D226" i="3"/>
  <c r="B226" i="9"/>
  <c r="B226" i="10"/>
  <c r="D202" i="3"/>
  <c r="B202" i="9"/>
  <c r="B202" i="10"/>
  <c r="D186" i="3"/>
  <c r="B186" i="9"/>
  <c r="B186" i="10"/>
  <c r="D170" i="3"/>
  <c r="B170" i="9"/>
  <c r="B170" i="10"/>
  <c r="D154" i="3"/>
  <c r="B154" i="9"/>
  <c r="B154" i="10"/>
  <c r="D138" i="3"/>
  <c r="B138" i="9"/>
  <c r="B138" i="10"/>
  <c r="D122" i="3"/>
  <c r="B122" i="9"/>
  <c r="B122" i="10"/>
  <c r="D106" i="3"/>
  <c r="B106" i="9"/>
  <c r="B106" i="10"/>
  <c r="D98" i="3"/>
  <c r="B98" i="9"/>
  <c r="B98" i="10"/>
  <c r="D90" i="3"/>
  <c r="B90" i="9"/>
  <c r="B90" i="10"/>
  <c r="D74" i="3"/>
  <c r="B74" i="9"/>
  <c r="B74" i="10"/>
  <c r="D66" i="3"/>
  <c r="B66" i="9"/>
  <c r="B66" i="10"/>
  <c r="D58" i="3"/>
  <c r="B58" i="9"/>
  <c r="B58" i="10"/>
  <c r="D50" i="3"/>
  <c r="B50" i="9"/>
  <c r="B50" i="10"/>
  <c r="D42" i="3"/>
  <c r="B42" i="9"/>
  <c r="B42" i="10"/>
  <c r="D34" i="3"/>
  <c r="B34" i="9"/>
  <c r="B34" i="10"/>
  <c r="D10" i="3"/>
  <c r="B10" i="9"/>
  <c r="B10" i="10"/>
  <c r="D264" i="3"/>
  <c r="B264" i="10"/>
  <c r="B264" i="9"/>
  <c r="D248" i="3"/>
  <c r="B248" i="10"/>
  <c r="B248" i="9"/>
  <c r="D216" i="3"/>
  <c r="B216" i="10"/>
  <c r="B216" i="9"/>
  <c r="D208" i="3"/>
  <c r="B208" i="10"/>
  <c r="B208" i="9"/>
  <c r="D192" i="3"/>
  <c r="B192" i="10"/>
  <c r="B192" i="9"/>
  <c r="D176" i="3"/>
  <c r="B176" i="10"/>
  <c r="B176" i="9"/>
  <c r="D152" i="3"/>
  <c r="B152" i="10"/>
  <c r="B152" i="9"/>
  <c r="D88" i="3"/>
  <c r="B88" i="10"/>
  <c r="B88" i="9"/>
  <c r="B94" i="3"/>
  <c r="B86" i="3"/>
  <c r="B78" i="3"/>
  <c r="B70" i="3"/>
  <c r="B62" i="3"/>
  <c r="B54" i="3"/>
  <c r="B46" i="3"/>
  <c r="B38" i="3"/>
  <c r="B30" i="3"/>
  <c r="B22" i="3"/>
  <c r="B14" i="3"/>
  <c r="B6" i="3"/>
  <c r="D256" i="3"/>
  <c r="B256" i="10"/>
  <c r="B256" i="9"/>
  <c r="D224" i="3"/>
  <c r="B224" i="10"/>
  <c r="B224" i="9"/>
  <c r="D200" i="3"/>
  <c r="B200" i="10"/>
  <c r="B200" i="9"/>
  <c r="D184" i="3"/>
  <c r="B184" i="10"/>
  <c r="B184" i="9"/>
  <c r="D168" i="3"/>
  <c r="B168" i="10"/>
  <c r="B168" i="9"/>
  <c r="D144" i="3"/>
  <c r="B144" i="10"/>
  <c r="B144" i="9"/>
  <c r="D128" i="3"/>
  <c r="B128" i="10"/>
  <c r="B128" i="9"/>
  <c r="D120" i="3"/>
  <c r="B120" i="10"/>
  <c r="B120" i="9"/>
  <c r="D112" i="3"/>
  <c r="B112" i="10"/>
  <c r="B112" i="9"/>
  <c r="D104" i="3"/>
  <c r="B104" i="10"/>
  <c r="B104" i="9"/>
  <c r="D96" i="3"/>
  <c r="B96" i="10"/>
  <c r="B96" i="9"/>
  <c r="D80" i="3"/>
  <c r="B80" i="10"/>
  <c r="B80" i="9"/>
  <c r="D72" i="3"/>
  <c r="B72" i="10"/>
  <c r="B72" i="9"/>
  <c r="D64" i="3"/>
  <c r="B64" i="10"/>
  <c r="B64" i="9"/>
  <c r="D56" i="3"/>
  <c r="B56" i="10"/>
  <c r="B56" i="9"/>
  <c r="D48" i="3"/>
  <c r="B48" i="10"/>
  <c r="B48" i="9"/>
  <c r="D40" i="3"/>
  <c r="B40" i="10"/>
  <c r="B40" i="9"/>
  <c r="D32" i="3"/>
  <c r="B32" i="10"/>
  <c r="B32" i="9"/>
  <c r="D24" i="3"/>
  <c r="B24" i="10"/>
  <c r="B24" i="9"/>
  <c r="D16" i="3"/>
  <c r="B16" i="10"/>
  <c r="B16" i="9"/>
  <c r="D8" i="3"/>
  <c r="B8" i="9"/>
  <c r="B8" i="10"/>
  <c r="B3" i="10"/>
  <c r="B3" i="9"/>
  <c r="D263" i="3"/>
  <c r="B263" i="10"/>
  <c r="B263" i="9"/>
  <c r="D255" i="3"/>
  <c r="B255" i="10"/>
  <c r="B255" i="9"/>
  <c r="D239" i="3"/>
  <c r="B239" i="10"/>
  <c r="B239" i="9"/>
  <c r="D231" i="3"/>
  <c r="B231" i="10"/>
  <c r="B231" i="9"/>
  <c r="D223" i="3"/>
  <c r="B223" i="10"/>
  <c r="B223" i="9"/>
  <c r="D215" i="3"/>
  <c r="B215" i="10"/>
  <c r="B215" i="9"/>
  <c r="D207" i="3"/>
  <c r="B207" i="10"/>
  <c r="B207" i="9"/>
  <c r="D199" i="3"/>
  <c r="B199" i="10"/>
  <c r="B199" i="9"/>
  <c r="D191" i="3"/>
  <c r="B191" i="10"/>
  <c r="B191" i="9"/>
  <c r="D183" i="3"/>
  <c r="B183" i="10"/>
  <c r="B183" i="9"/>
  <c r="D175" i="3"/>
  <c r="B175" i="10"/>
  <c r="B175" i="9"/>
  <c r="D167" i="3"/>
  <c r="B167" i="10"/>
  <c r="B167" i="9"/>
  <c r="D159" i="3"/>
  <c r="B159" i="10"/>
  <c r="B159" i="9"/>
  <c r="D151" i="3"/>
  <c r="B151" i="10"/>
  <c r="B151" i="9"/>
  <c r="D143" i="3"/>
  <c r="B143" i="10"/>
  <c r="B143" i="9"/>
  <c r="D135" i="3"/>
  <c r="B135" i="10"/>
  <c r="B135" i="9"/>
  <c r="D127" i="3"/>
  <c r="B127" i="10"/>
  <c r="B127" i="9"/>
  <c r="D119" i="3"/>
  <c r="B119" i="10"/>
  <c r="B119" i="9"/>
  <c r="D95" i="3"/>
  <c r="B95" i="10"/>
  <c r="B95" i="9"/>
  <c r="D55" i="3"/>
  <c r="B55" i="10"/>
  <c r="B55" i="9"/>
  <c r="D261" i="3"/>
  <c r="B261" i="10"/>
  <c r="B261" i="9"/>
  <c r="D245" i="3"/>
  <c r="B245" i="10"/>
  <c r="B245" i="9"/>
  <c r="D229" i="3"/>
  <c r="B229" i="10"/>
  <c r="B229" i="9"/>
  <c r="D213" i="3"/>
  <c r="B213" i="10"/>
  <c r="B213" i="9"/>
  <c r="D197" i="3"/>
  <c r="B197" i="10"/>
  <c r="B197" i="9"/>
  <c r="D181" i="3"/>
  <c r="B181" i="10"/>
  <c r="B181" i="9"/>
  <c r="D165" i="3"/>
  <c r="B165" i="10"/>
  <c r="B165" i="9"/>
  <c r="D149" i="3"/>
  <c r="B149" i="10"/>
  <c r="B149" i="9"/>
  <c r="D141" i="3"/>
  <c r="B141" i="10"/>
  <c r="B141" i="9"/>
  <c r="D125" i="3"/>
  <c r="B125" i="10"/>
  <c r="B125" i="9"/>
  <c r="D109" i="3"/>
  <c r="B109" i="10"/>
  <c r="B109" i="9"/>
  <c r="D85" i="3"/>
  <c r="B85" i="10"/>
  <c r="B85" i="9"/>
  <c r="D61" i="3"/>
  <c r="B61" i="10"/>
  <c r="B61" i="9"/>
  <c r="D53" i="3"/>
  <c r="B53" i="10"/>
  <c r="B53" i="9"/>
  <c r="D37" i="3"/>
  <c r="B37" i="10"/>
  <c r="B37" i="9"/>
  <c r="D13" i="3"/>
  <c r="B13" i="10"/>
  <c r="B13" i="9"/>
  <c r="B69" i="3"/>
  <c r="B53" i="3"/>
  <c r="B45" i="3"/>
  <c r="B37" i="3"/>
  <c r="B29" i="3"/>
  <c r="B21" i="3"/>
  <c r="B13" i="3"/>
  <c r="B5" i="3"/>
  <c r="D240" i="3"/>
  <c r="B240" i="10"/>
  <c r="B240" i="9"/>
  <c r="D136" i="3"/>
  <c r="B136" i="10"/>
  <c r="B136" i="9"/>
  <c r="D247" i="3"/>
  <c r="B247" i="10"/>
  <c r="B247" i="9"/>
  <c r="D111" i="3"/>
  <c r="B111" i="10"/>
  <c r="B111" i="9"/>
  <c r="D103" i="3"/>
  <c r="B103" i="10"/>
  <c r="B103" i="9"/>
  <c r="D87" i="3"/>
  <c r="B87" i="10"/>
  <c r="B87" i="9"/>
  <c r="D79" i="3"/>
  <c r="B79" i="10"/>
  <c r="B79" i="9"/>
  <c r="D71" i="3"/>
  <c r="B71" i="10"/>
  <c r="B71" i="9"/>
  <c r="D63" i="3"/>
  <c r="B63" i="10"/>
  <c r="B63" i="9"/>
  <c r="D47" i="3"/>
  <c r="B47" i="10"/>
  <c r="B47" i="9"/>
  <c r="D39" i="3"/>
  <c r="B39" i="10"/>
  <c r="B39" i="9"/>
  <c r="D31" i="3"/>
  <c r="B31" i="10"/>
  <c r="B31" i="9"/>
  <c r="D23" i="3"/>
  <c r="B23" i="10"/>
  <c r="B23" i="9"/>
  <c r="D15" i="3"/>
  <c r="B15" i="10"/>
  <c r="B15" i="9"/>
  <c r="D7" i="3"/>
  <c r="B7" i="10"/>
  <c r="B7" i="9"/>
  <c r="B61" i="3"/>
  <c r="D268" i="3"/>
  <c r="B268" i="10"/>
  <c r="B268" i="9"/>
  <c r="D260" i="3"/>
  <c r="B260" i="10"/>
  <c r="B260" i="9"/>
  <c r="D252" i="3"/>
  <c r="B252" i="10"/>
  <c r="B252" i="9"/>
  <c r="D244" i="3"/>
  <c r="B244" i="10"/>
  <c r="B244" i="9"/>
  <c r="D236" i="3"/>
  <c r="B236" i="10"/>
  <c r="B236" i="9"/>
  <c r="D228" i="3"/>
  <c r="B228" i="10"/>
  <c r="B228" i="9"/>
  <c r="D220" i="3"/>
  <c r="B220" i="10"/>
  <c r="B220" i="9"/>
  <c r="D212" i="3"/>
  <c r="B212" i="10"/>
  <c r="B212" i="9"/>
  <c r="D204" i="3"/>
  <c r="B204" i="10"/>
  <c r="B204" i="9"/>
  <c r="D196" i="3"/>
  <c r="B196" i="10"/>
  <c r="B196" i="9"/>
  <c r="D188" i="3"/>
  <c r="B188" i="10"/>
  <c r="B188" i="9"/>
  <c r="D180" i="3"/>
  <c r="B180" i="10"/>
  <c r="B180" i="9"/>
  <c r="D172" i="3"/>
  <c r="B172" i="10"/>
  <c r="B172" i="9"/>
  <c r="D164" i="3"/>
  <c r="B164" i="10"/>
  <c r="B164" i="9"/>
  <c r="D156" i="3"/>
  <c r="B156" i="10"/>
  <c r="B156" i="9"/>
  <c r="D148" i="3"/>
  <c r="B148" i="10"/>
  <c r="B148" i="9"/>
  <c r="D140" i="3"/>
  <c r="B140" i="10"/>
  <c r="B140" i="9"/>
  <c r="D132" i="3"/>
  <c r="B132" i="10"/>
  <c r="B132" i="9"/>
  <c r="D124" i="3"/>
  <c r="B124" i="10"/>
  <c r="B124" i="9"/>
  <c r="D116" i="3"/>
  <c r="B116" i="10"/>
  <c r="B116" i="9"/>
  <c r="D108" i="3"/>
  <c r="B108" i="10"/>
  <c r="B108" i="9"/>
  <c r="D100" i="3"/>
  <c r="B100" i="10"/>
  <c r="B100" i="9"/>
  <c r="D92" i="3"/>
  <c r="B92" i="10"/>
  <c r="B92" i="9"/>
  <c r="D84" i="3"/>
  <c r="B84" i="10"/>
  <c r="B84" i="9"/>
  <c r="D76" i="3"/>
  <c r="B76" i="10"/>
  <c r="B76" i="9"/>
  <c r="D68" i="3"/>
  <c r="B68" i="10"/>
  <c r="B68" i="9"/>
  <c r="D60" i="3"/>
  <c r="B60" i="10"/>
  <c r="B60" i="9"/>
  <c r="D52" i="3"/>
  <c r="B52" i="10"/>
  <c r="B52" i="9"/>
  <c r="D44" i="3"/>
  <c r="B44" i="10"/>
  <c r="B44" i="9"/>
  <c r="D36" i="3"/>
  <c r="B36" i="10"/>
  <c r="B36" i="9"/>
  <c r="D28" i="3"/>
  <c r="B28" i="10"/>
  <c r="B28" i="9"/>
  <c r="D20" i="3"/>
  <c r="B20" i="10"/>
  <c r="B20" i="9"/>
  <c r="D12" i="3"/>
  <c r="B12" i="10"/>
  <c r="B12" i="9"/>
  <c r="D4" i="3"/>
  <c r="B4" i="10"/>
  <c r="B4" i="9"/>
  <c r="D259" i="3"/>
  <c r="I271" i="1" a="1"/>
  <c r="I271" i="1" s="1"/>
  <c r="D3" i="3"/>
  <c r="H271" i="1" a="1"/>
  <c r="H271" i="1" s="1"/>
  <c r="C259" i="3"/>
  <c r="B3" i="4" a="1"/>
  <c r="B3" i="4" s="1"/>
  <c r="H13" i="4" s="1" a="1"/>
  <c r="H13" i="4" s="1"/>
  <c r="H4" i="4" a="1"/>
  <c r="H4" i="4" s="1"/>
  <c r="H3" i="4" l="1" a="1"/>
  <c r="H3" i="4" s="1"/>
  <c r="H2" i="4" a="1"/>
  <c r="H2" i="4" s="1"/>
  <c r="H10" i="4" s="1"/>
  <c r="H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<sst xmlns="http://schemas.openxmlformats.org/spreadsheetml/2006/main" count="156" uniqueCount="66">
  <si>
    <t>Date</t>
  </si>
  <si>
    <t>DXY</t>
  </si>
  <si>
    <t>RF (%, annualized)</t>
  </si>
  <si>
    <t>SP500</t>
  </si>
  <si>
    <t>ADP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</si>
  <si>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</si>
  <si>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</si>
  <si>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</si>
  <si>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</si>
  <si>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</si>
  <si>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</si>
  <si>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</si>
  <si>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</si>
  <si>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</si>
  <si>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</si>
  <si>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</si>
  <si>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</si>
  <si>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</si>
  <si>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</si>
  <si>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</si>
  <si>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</si>
  <si>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</si>
  <si>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</si>
  <si>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</si>
  <si>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</si>
  <si>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</si>
  <si>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</si>
  <si>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</si>
  <si>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</si>
  <si>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Stock Excess Returns</t>
  </si>
  <si>
    <t>Market Excess Returns</t>
  </si>
  <si>
    <t>Exchange Rate Returns</t>
  </si>
  <si>
    <t>ADP Returns</t>
  </si>
  <si>
    <t>S&amp;P500 Returns</t>
  </si>
  <si>
    <t>Enriched Capital Asset Pricing Model</t>
  </si>
  <si>
    <t>Cumulative S&amp;P500 Returns</t>
  </si>
  <si>
    <t>Cumulative Exchange Rate Returns</t>
  </si>
  <si>
    <t>Cumulative Risk-free Rate</t>
  </si>
  <si>
    <t>α</t>
  </si>
  <si>
    <r>
      <t>β</t>
    </r>
    <r>
      <rPr>
        <sz val="8"/>
        <color rgb="FF000000"/>
        <rFont val="Helvetica"/>
        <family val="2"/>
      </rPr>
      <t>Mkt</t>
    </r>
  </si>
  <si>
    <r>
      <t>β</t>
    </r>
    <r>
      <rPr>
        <sz val="8"/>
        <color rgb="FF000000"/>
        <rFont val="Helvetica"/>
        <family val="2"/>
      </rPr>
      <t>FX</t>
    </r>
  </si>
  <si>
    <t>ADP Excess Returns</t>
  </si>
  <si>
    <t>ADP Predicted Returns</t>
  </si>
  <si>
    <t>ADP Actual Returns</t>
  </si>
  <si>
    <t>Rf (monthly)</t>
  </si>
  <si>
    <t>RF (monthly compounded)</t>
  </si>
  <si>
    <t>Long-term Interest Rate</t>
  </si>
  <si>
    <t>Account Balance</t>
  </si>
  <si>
    <t>Prediction Error (%)</t>
  </si>
  <si>
    <t>Inflation Rate (CPI)</t>
  </si>
  <si>
    <t>Real GDP Growth</t>
  </si>
  <si>
    <t>CAD</t>
  </si>
  <si>
    <t>USD</t>
  </si>
  <si>
    <t>EUR</t>
  </si>
  <si>
    <t>Interest Rate Differential</t>
  </si>
  <si>
    <t>Inflation Rate Differential</t>
  </si>
  <si>
    <t>Account Balance Differential</t>
  </si>
  <si>
    <t>GDP Growth - CAD</t>
  </si>
  <si>
    <t>GDP Growth - USD</t>
  </si>
  <si>
    <t>GDP Growth - EUR</t>
  </si>
  <si>
    <t>ICE Future Contact Value</t>
  </si>
  <si>
    <t>Hedge ratio</t>
  </si>
  <si>
    <t>Unhedged Value (Investment Value)</t>
  </si>
  <si>
    <t>Contract size</t>
  </si>
  <si>
    <t>Index value</t>
  </si>
  <si>
    <t>Hedging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</si>
</sst>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i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AC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164" fontId="0" fillId="0" borderId="0" xfId="0" applyNumberFormat="1"/>
    <xf numFmtId="2" fontId="0" fillId="0" borderId="0" xfId="0" applyNumberFormat="1"/>
    <xf numFmtId="164" fontId="0" fillId="0" borderId="1" xfId="0" applyNumberFormat="1" applyBorder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1" xfId="0" applyNumberFormat="1" applyBorder="1"/>
    <xf numFmtId="165" fontId="0" fillId="0" borderId="0" xfId="0" applyNumberFormat="1" applyAlignment="1">
      <alignment horizontal="left"/>
    </xf>
    <xf numFmtId="0" fontId="4" fillId="0" borderId="0" xfId="0" applyFon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4" fontId="2" fillId="0" borderId="1" xfId="0" applyNumberFormat="1" applyFont="1" applyBorder="1" applyAlignment="1">
      <alignment horizontal="left"/>
    </xf>
    <xf numFmtId="4" fontId="0" fillId="0" borderId="1" xfId="0" applyNumberFormat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2" borderId="0" xfId="0" applyNumberFormat="1" applyFill="1"/>
    <xf numFmtId="164" fontId="0" fillId="2" borderId="1" xfId="0" applyNumberFormat="1" applyFill="1" applyBorder="1"/>
    <xf numFmtId="166" fontId="0" fillId="0" borderId="0" xfId="0" applyNumberFormat="1" applyAlignment="1">
      <alignment horizontal="center"/>
    </xf>
    <xf numFmtId="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0" fontId="0" fillId="6" borderId="0" xfId="0" applyFill="1"/>
    <xf numFmtId="165" fontId="0" fillId="6" borderId="0" xfId="0" applyNumberFormat="1" applyFill="1" applyAlignment="1">
      <alignment horizontal="center"/>
    </xf>
    <xf numFmtId="4" fontId="0" fillId="7" borderId="0" xfId="0" applyNumberFormat="1" applyFill="1" applyAlignment="1">
      <alignment horizontal="center"/>
    </xf>
    <xf numFmtId="0" fontId="0" fillId="7" borderId="0" xfId="0" applyFill="1"/>
    <xf numFmtId="165" fontId="0" fillId="7" borderId="0" xfId="0" applyNumberFormat="1" applyFill="1" applyAlignment="1">
      <alignment horizontal="center"/>
    </xf>
    <xf numFmtId="0" fontId="0" fillId="4" borderId="0" xfId="0" applyFill="1"/>
    <xf numFmtId="0" fontId="6" fillId="0" borderId="0" xfId="0" applyFont="1" applyAlignment="1">
      <alignment vertical="center" wrapText="1"/>
    </xf>
    <xf numFmtId="0" fontId="0" fillId="8" borderId="0" xfId="0" applyFill="1"/>
    <xf numFmtId="164" fontId="0" fillId="8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9" borderId="0" xfId="0" applyFill="1"/>
    <xf numFmtId="164" fontId="0" fillId="9" borderId="0" xfId="0" applyNumberFormat="1" applyFill="1"/>
    <xf numFmtId="0" fontId="7" fillId="0" borderId="0" xfId="0" applyFont="1"/>
    <xf numFmtId="165" fontId="2" fillId="2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0" fontId="2" fillId="10" borderId="0" xfId="0" applyFont="1" applyFill="1"/>
    <xf numFmtId="2" fontId="2" fillId="10" borderId="0" xfId="0" applyNumberFormat="1" applyFont="1" applyFill="1"/>
    <xf numFmtId="9" fontId="0" fillId="0" borderId="0" xfId="1" applyFont="1"/>
    <xf numFmtId="2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AC93"/>
      <color rgb="FFFF8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CAD/USD Movements with Macroeconomic Factors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'3.8.1 Exchange Risk - CAD'!$B$1</c:f>
              <c:strCache>
                <c:ptCount val="1"/>
                <c:pt idx="0">
                  <c:v>Exchange Rate Returns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'3.8.1 Exchange Risk - CAD'!$A$2:$A$270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'3.8.1 Exchange Risk - CAD'!$B$2:$B$270</c:f>
              <c:numCache>
                <c:formatCode>0.000</c:formatCode>
                <c:ptCount val="269"/>
                <c:pt idx="1">
                  <c:v>5.2900722976549348E-4</c:v>
                </c:pt>
                <c:pt idx="2">
                  <c:v>1.2160733168840284E-2</c:v>
                </c:pt>
                <c:pt idx="3">
                  <c:v>1.1056938882117326E-2</c:v>
                </c:pt>
                <c:pt idx="4">
                  <c:v>5.3388443985189406E-3</c:v>
                </c:pt>
                <c:pt idx="5">
                  <c:v>2.989293361884364E-2</c:v>
                </c:pt>
                <c:pt idx="6">
                  <c:v>-8.9820359281436984E-3</c:v>
                </c:pt>
                <c:pt idx="7">
                  <c:v>-4.5317220543805983E-3</c:v>
                </c:pt>
                <c:pt idx="8">
                  <c:v>-2.8915865789917439E-2</c:v>
                </c:pt>
                <c:pt idx="9">
                  <c:v>-2.9342824897994578E-2</c:v>
                </c:pt>
                <c:pt idx="10">
                  <c:v>-5.0979339951703805E-2</c:v>
                </c:pt>
                <c:pt idx="11">
                  <c:v>1.2251437187823929E-2</c:v>
                </c:pt>
                <c:pt idx="12">
                  <c:v>-4.0033516432361289E-3</c:v>
                </c:pt>
                <c:pt idx="13">
                  <c:v>-1.0282295756216062E-3</c:v>
                </c:pt>
                <c:pt idx="14">
                  <c:v>-2.1521474688874706E-3</c:v>
                </c:pt>
                <c:pt idx="15">
                  <c:v>-2.1567891972993623E-3</c:v>
                </c:pt>
                <c:pt idx="16">
                  <c:v>-4.2853115308711609E-2</c:v>
                </c:pt>
                <c:pt idx="17">
                  <c:v>-1.9047619047619025E-2</c:v>
                </c:pt>
                <c:pt idx="18">
                  <c:v>-2.001801621459342E-3</c:v>
                </c:pt>
                <c:pt idx="19">
                  <c:v>-6.518904823989485E-3</c:v>
                </c:pt>
                <c:pt idx="20">
                  <c:v>-1.8877448011306325E-2</c:v>
                </c:pt>
                <c:pt idx="21">
                  <c:v>-4.0333367630414667E-2</c:v>
                </c:pt>
                <c:pt idx="22">
                  <c:v>1.5653479146563825E-2</c:v>
                </c:pt>
                <c:pt idx="23">
                  <c:v>2.2801646785601145E-2</c:v>
                </c:pt>
                <c:pt idx="24">
                  <c:v>1.2488388894622704E-2</c:v>
                </c:pt>
                <c:pt idx="25">
                  <c:v>-5.3516819571865444E-2</c:v>
                </c:pt>
                <c:pt idx="26">
                  <c:v>-1.2924071082389913E-3</c:v>
                </c:pt>
                <c:pt idx="27">
                  <c:v>-2.7175671303785291E-2</c:v>
                </c:pt>
                <c:pt idx="28">
                  <c:v>-3.6470457820640644E-2</c:v>
                </c:pt>
                <c:pt idx="29">
                  <c:v>3.2213529682466767E-3</c:v>
                </c:pt>
                <c:pt idx="30">
                  <c:v>1.2614678899082502E-3</c:v>
                </c:pt>
                <c:pt idx="31">
                  <c:v>3.4360325277745635E-3</c:v>
                </c:pt>
                <c:pt idx="32">
                  <c:v>3.2758817486588342E-2</c:v>
                </c:pt>
                <c:pt idx="33">
                  <c:v>-1.6909814323607438E-2</c:v>
                </c:pt>
                <c:pt idx="34">
                  <c:v>-1.6863406408095074E-3</c:v>
                </c:pt>
                <c:pt idx="35">
                  <c:v>1.3063063063063025E-2</c:v>
                </c:pt>
                <c:pt idx="36">
                  <c:v>-1.1338372610048867E-2</c:v>
                </c:pt>
                <c:pt idx="37">
                  <c:v>-1.7764785248482105E-2</c:v>
                </c:pt>
                <c:pt idx="38">
                  <c:v>-2.8044871794871827E-2</c:v>
                </c:pt>
                <c:pt idx="39">
                  <c:v>-3.6391473324696777E-2</c:v>
                </c:pt>
                <c:pt idx="40">
                  <c:v>-1.1855292104619884E-2</c:v>
                </c:pt>
                <c:pt idx="41">
                  <c:v>3.4013605442176874E-2</c:v>
                </c:pt>
                <c:pt idx="42">
                  <c:v>-1.3038277511961594E-2</c:v>
                </c:pt>
                <c:pt idx="43">
                  <c:v>1.8785601745242964E-2</c:v>
                </c:pt>
                <c:pt idx="44">
                  <c:v>4.4016178919819718E-3</c:v>
                </c:pt>
                <c:pt idx="45">
                  <c:v>3.9440957005803599E-2</c:v>
                </c:pt>
                <c:pt idx="46">
                  <c:v>1.5382862351868667E-2</c:v>
                </c:pt>
                <c:pt idx="47">
                  <c:v>2.6933004152170899E-3</c:v>
                </c:pt>
                <c:pt idx="48">
                  <c:v>-1.9809736989367614E-2</c:v>
                </c:pt>
                <c:pt idx="49">
                  <c:v>2.2151176067595316E-2</c:v>
                </c:pt>
                <c:pt idx="50">
                  <c:v>6.1438784629132843E-3</c:v>
                </c:pt>
                <c:pt idx="51">
                  <c:v>1.6653713778172534E-2</c:v>
                </c:pt>
                <c:pt idx="52">
                  <c:v>-4.3682428743037184E-3</c:v>
                </c:pt>
                <c:pt idx="53">
                  <c:v>-2.4240429965997675E-2</c:v>
                </c:pt>
                <c:pt idx="54">
                  <c:v>1.292715827338136E-2</c:v>
                </c:pt>
                <c:pt idx="55">
                  <c:v>-4.2170680279657695E-3</c:v>
                </c:pt>
                <c:pt idx="56">
                  <c:v>-4.034325197815674E-2</c:v>
                </c:pt>
                <c:pt idx="57">
                  <c:v>-1.6142143769597033E-2</c:v>
                </c:pt>
                <c:pt idx="58">
                  <c:v>5.9017941454202081E-3</c:v>
                </c:pt>
                <c:pt idx="59">
                  <c:v>9.3874677305794759E-4</c:v>
                </c:pt>
                <c:pt idx="60">
                  <c:v>-2.9308323563892145E-3</c:v>
                </c:pt>
                <c:pt idx="61">
                  <c:v>1.0817166372721948E-2</c:v>
                </c:pt>
                <c:pt idx="62">
                  <c:v>-7.5607770152379397E-3</c:v>
                </c:pt>
                <c:pt idx="63">
                  <c:v>-2.8129395218002715E-2</c:v>
                </c:pt>
                <c:pt idx="64">
                  <c:v>9.6478533526290055E-3</c:v>
                </c:pt>
                <c:pt idx="65">
                  <c:v>1.0630673674151943E-2</c:v>
                </c:pt>
                <c:pt idx="66">
                  <c:v>-1.2291691289445766E-2</c:v>
                </c:pt>
                <c:pt idx="67">
                  <c:v>-7.6582505683856217E-3</c:v>
                </c:pt>
                <c:pt idx="68">
                  <c:v>-1.7846376462076496E-2</c:v>
                </c:pt>
                <c:pt idx="69">
                  <c:v>1.043585021485567E-2</c:v>
                </c:pt>
                <c:pt idx="70">
                  <c:v>-4.6172539489671384E-3</c:v>
                </c:pt>
                <c:pt idx="71">
                  <c:v>-1.4038085937500069E-2</c:v>
                </c:pt>
                <c:pt idx="72">
                  <c:v>2.4761668936498988E-4</c:v>
                </c:pt>
                <c:pt idx="73">
                  <c:v>-3.7999752444609569E-2</c:v>
                </c:pt>
                <c:pt idx="74">
                  <c:v>-1.5954709212557833E-2</c:v>
                </c:pt>
                <c:pt idx="75">
                  <c:v>-4.3148535564853331E-3</c:v>
                </c:pt>
                <c:pt idx="76">
                  <c:v>7.0912672357188707E-3</c:v>
                </c:pt>
                <c:pt idx="77">
                  <c:v>-1.9689659668796336E-2</c:v>
                </c:pt>
                <c:pt idx="78">
                  <c:v>-1.9553072625698498E-2</c:v>
                </c:pt>
                <c:pt idx="79">
                  <c:v>-2.5912359245692535E-2</c:v>
                </c:pt>
                <c:pt idx="80">
                  <c:v>9.8885793871867408E-3</c:v>
                </c:pt>
                <c:pt idx="81">
                  <c:v>5.1027444490413781E-3</c:v>
                </c:pt>
                <c:pt idx="82">
                  <c:v>-5.7628979143798265E-3</c:v>
                </c:pt>
                <c:pt idx="83">
                  <c:v>1.062655258073434E-2</c:v>
                </c:pt>
                <c:pt idx="84">
                  <c:v>5.6670763348354379E-2</c:v>
                </c:pt>
                <c:pt idx="85">
                  <c:v>2.6751098475058251E-2</c:v>
                </c:pt>
                <c:pt idx="86">
                  <c:v>7.7784770295783415E-2</c:v>
                </c:pt>
                <c:pt idx="87">
                  <c:v>1.0393553661100089E-2</c:v>
                </c:pt>
                <c:pt idx="88">
                  <c:v>-6.2066574202496422E-2</c:v>
                </c:pt>
                <c:pt idx="89">
                  <c:v>5.7670979667282712E-2</c:v>
                </c:pt>
                <c:pt idx="90">
                  <c:v>2.7263194687172358E-2</c:v>
                </c:pt>
                <c:pt idx="91">
                  <c:v>-3.0168991720539828E-2</c:v>
                </c:pt>
                <c:pt idx="92">
                  <c:v>-8.069231668810805E-3</c:v>
                </c:pt>
                <c:pt idx="93">
                  <c:v>-6.5904267861353338E-2</c:v>
                </c:pt>
                <c:pt idx="94">
                  <c:v>1.173797803862164E-2</c:v>
                </c:pt>
                <c:pt idx="95">
                  <c:v>-2.2579840319361305E-2</c:v>
                </c:pt>
                <c:pt idx="96">
                  <c:v>-2.2973835354179019E-3</c:v>
                </c:pt>
                <c:pt idx="97">
                  <c:v>-1.9444799795317845E-2</c:v>
                </c:pt>
                <c:pt idx="98">
                  <c:v>-4.5662100456622112E-3</c:v>
                </c:pt>
                <c:pt idx="99">
                  <c:v>-1.9921363040629043E-2</c:v>
                </c:pt>
                <c:pt idx="100">
                  <c:v>4.1187483284300594E-2</c:v>
                </c:pt>
                <c:pt idx="101">
                  <c:v>2.0549704597996332E-2</c:v>
                </c:pt>
                <c:pt idx="102">
                  <c:v>1.1326453561540471E-2</c:v>
                </c:pt>
                <c:pt idx="103">
                  <c:v>8.8352414136385476E-3</c:v>
                </c:pt>
                <c:pt idx="104">
                  <c:v>9.8680152954238494E-3</c:v>
                </c:pt>
                <c:pt idx="105">
                  <c:v>5.7652375717601061E-2</c:v>
                </c:pt>
                <c:pt idx="106">
                  <c:v>-6.5827462755515343E-3</c:v>
                </c:pt>
                <c:pt idx="107">
                  <c:v>-5.2080911415949664E-2</c:v>
                </c:pt>
                <c:pt idx="108">
                  <c:v>2.0358106450821638E-2</c:v>
                </c:pt>
                <c:pt idx="109">
                  <c:v>-5.3846153846153891E-2</c:v>
                </c:pt>
                <c:pt idx="110">
                  <c:v>-1.8419715447154508E-2</c:v>
                </c:pt>
                <c:pt idx="111">
                  <c:v>5.0731202277727476E-2</c:v>
                </c:pt>
                <c:pt idx="112">
                  <c:v>-2.6604261608572443E-2</c:v>
                </c:pt>
                <c:pt idx="113">
                  <c:v>-1.6449449576110303E-2</c:v>
                </c:pt>
                <c:pt idx="114">
                  <c:v>-1.0806638363566235E-2</c:v>
                </c:pt>
                <c:pt idx="115">
                  <c:v>-1.3395760176876071E-2</c:v>
                </c:pt>
                <c:pt idx="116">
                  <c:v>-3.8623780648563047E-2</c:v>
                </c:pt>
                <c:pt idx="117">
                  <c:v>2.344714109419983E-2</c:v>
                </c:pt>
                <c:pt idx="118">
                  <c:v>-4.5551982851018673E-3</c:v>
                </c:pt>
                <c:pt idx="119">
                  <c:v>-5.3835800807535868E-3</c:v>
                </c:pt>
                <c:pt idx="120">
                  <c:v>2.9769959404600654E-3</c:v>
                </c:pt>
                <c:pt idx="121">
                  <c:v>5.9767943874797523E-2</c:v>
                </c:pt>
                <c:pt idx="122">
                  <c:v>-3.0299172501591285E-2</c:v>
                </c:pt>
                <c:pt idx="123">
                  <c:v>2.9014047525272334E-2</c:v>
                </c:pt>
                <c:pt idx="124">
                  <c:v>2.2965042102577334E-2</c:v>
                </c:pt>
                <c:pt idx="125">
                  <c:v>-1.1100024943876284E-2</c:v>
                </c:pt>
                <c:pt idx="126">
                  <c:v>-6.9365619876404503E-3</c:v>
                </c:pt>
                <c:pt idx="127">
                  <c:v>3.3020066040132731E-3</c:v>
                </c:pt>
                <c:pt idx="128">
                  <c:v>-2.7848101265822642E-3</c:v>
                </c:pt>
                <c:pt idx="129">
                  <c:v>5.407463823305414E-2</c:v>
                </c:pt>
                <c:pt idx="130">
                  <c:v>-1.6979768786127298E-2</c:v>
                </c:pt>
                <c:pt idx="131">
                  <c:v>1.2372902119318942E-2</c:v>
                </c:pt>
                <c:pt idx="132">
                  <c:v>-1.7303969022265331E-2</c:v>
                </c:pt>
                <c:pt idx="133">
                  <c:v>-1.5638468168944663E-2</c:v>
                </c:pt>
                <c:pt idx="134">
                  <c:v>-2.5018764073049814E-4</c:v>
                </c:pt>
                <c:pt idx="135">
                  <c:v>2.8778778778779275E-3</c:v>
                </c:pt>
                <c:pt idx="136">
                  <c:v>-4.7411104179664338E-3</c:v>
                </c:pt>
                <c:pt idx="137">
                  <c:v>-7.0201830262003545E-3</c:v>
                </c:pt>
                <c:pt idx="138">
                  <c:v>3.4591591970710885E-2</c:v>
                </c:pt>
                <c:pt idx="139">
                  <c:v>1.549725442342887E-2</c:v>
                </c:pt>
                <c:pt idx="140">
                  <c:v>-1.7664023071377058E-2</c:v>
                </c:pt>
                <c:pt idx="141">
                  <c:v>1.847094801223248E-2</c:v>
                </c:pt>
                <c:pt idx="142">
                  <c:v>-1.4412683161182385E-3</c:v>
                </c:pt>
                <c:pt idx="143">
                  <c:v>-2.0327159008900621E-2</c:v>
                </c:pt>
                <c:pt idx="144">
                  <c:v>7.857581338244329E-3</c:v>
                </c:pt>
                <c:pt idx="145">
                  <c:v>-2.2779875746132348E-2</c:v>
                </c:pt>
                <c:pt idx="146">
                  <c:v>-3.7397157816007403E-4</c:v>
                </c:pt>
                <c:pt idx="147">
                  <c:v>6.1104875919691867E-3</c:v>
                </c:pt>
                <c:pt idx="148">
                  <c:v>-8.0565195835399801E-3</c:v>
                </c:pt>
                <c:pt idx="149">
                  <c:v>1.5994002249156581E-2</c:v>
                </c:pt>
                <c:pt idx="150">
                  <c:v>-1.9923748616406403E-2</c:v>
                </c:pt>
                <c:pt idx="151">
                  <c:v>5.144936629439034E-3</c:v>
                </c:pt>
                <c:pt idx="152">
                  <c:v>-7.8651685393257859E-3</c:v>
                </c:pt>
                <c:pt idx="153">
                  <c:v>1.1325028312570854E-2</c:v>
                </c:pt>
                <c:pt idx="154">
                  <c:v>-7.3410476545975288E-3</c:v>
                </c:pt>
                <c:pt idx="155">
                  <c:v>2.1057909250438614E-2</c:v>
                </c:pt>
                <c:pt idx="156">
                  <c:v>1.5835993125460426E-2</c:v>
                </c:pt>
                <c:pt idx="157">
                  <c:v>3.8549848942598157E-2</c:v>
                </c:pt>
                <c:pt idx="158">
                  <c:v>1.1403304631138049E-2</c:v>
                </c:pt>
                <c:pt idx="159">
                  <c:v>1.6566958122411386E-2</c:v>
                </c:pt>
                <c:pt idx="160">
                  <c:v>2.161611588954274E-2</c:v>
                </c:pt>
                <c:pt idx="161">
                  <c:v>5.0182784978398155E-2</c:v>
                </c:pt>
                <c:pt idx="162">
                  <c:v>5.4852320675105063E-3</c:v>
                </c:pt>
                <c:pt idx="163">
                  <c:v>3.1892572387746607E-2</c:v>
                </c:pt>
                <c:pt idx="164">
                  <c:v>-3.8226921512810139E-2</c:v>
                </c:pt>
                <c:pt idx="165">
                  <c:v>2.4418604651162815E-2</c:v>
                </c:pt>
                <c:pt idx="166">
                  <c:v>-1.4755959137343852E-2</c:v>
                </c:pt>
                <c:pt idx="167">
                  <c:v>1.9480519480519473E-2</c:v>
                </c:pt>
                <c:pt idx="168">
                  <c:v>-1.561536881035556E-2</c:v>
                </c:pt>
                <c:pt idx="169">
                  <c:v>5.5312043414736086E-3</c:v>
                </c:pt>
                <c:pt idx="170">
                  <c:v>6.2272963155164352E-3</c:v>
                </c:pt>
                <c:pt idx="171">
                  <c:v>3.3212996389891683E-2</c:v>
                </c:pt>
                <c:pt idx="172">
                  <c:v>-1.5373864430468266E-2</c:v>
                </c:pt>
                <c:pt idx="173">
                  <c:v>9.9361249112846391E-3</c:v>
                </c:pt>
                <c:pt idx="174">
                  <c:v>-1.4054813773717555E-2</c:v>
                </c:pt>
                <c:pt idx="175">
                  <c:v>-3.6859790245392432E-2</c:v>
                </c:pt>
                <c:pt idx="176">
                  <c:v>-1.5963632519293849E-2</c:v>
                </c:pt>
                <c:pt idx="177">
                  <c:v>3.0189084658358425E-2</c:v>
                </c:pt>
                <c:pt idx="178">
                  <c:v>2.6071540306601315E-3</c:v>
                </c:pt>
                <c:pt idx="179">
                  <c:v>-6.3449136675681238E-3</c:v>
                </c:pt>
                <c:pt idx="180">
                  <c:v>5.1292787605987109E-3</c:v>
                </c:pt>
                <c:pt idx="181">
                  <c:v>-5.832118308685714E-3</c:v>
                </c:pt>
                <c:pt idx="182">
                  <c:v>3.1217263775403355E-2</c:v>
                </c:pt>
                <c:pt idx="183">
                  <c:v>3.1084924827305998E-2</c:v>
                </c:pt>
                <c:pt idx="184">
                  <c:v>6.9950738916255539E-3</c:v>
                </c:pt>
                <c:pt idx="185">
                  <c:v>-2.6416201937188032E-2</c:v>
                </c:pt>
                <c:pt idx="186">
                  <c:v>1.6179278464475925E-2</c:v>
                </c:pt>
                <c:pt idx="187">
                  <c:v>-7.6147151898735181E-3</c:v>
                </c:pt>
                <c:pt idx="188">
                  <c:v>-1.2954658694568981E-2</c:v>
                </c:pt>
                <c:pt idx="189">
                  <c:v>-2.1504290762241248E-2</c:v>
                </c:pt>
                <c:pt idx="190">
                  <c:v>-1.330994634750316E-2</c:v>
                </c:pt>
                <c:pt idx="191">
                  <c:v>-2.8965805709505344E-2</c:v>
                </c:pt>
                <c:pt idx="192">
                  <c:v>-2.0460908895110676E-3</c:v>
                </c:pt>
                <c:pt idx="193">
                  <c:v>4.4243012841264336E-3</c:v>
                </c:pt>
                <c:pt idx="194">
                  <c:v>1.5792866351525558E-2</c:v>
                </c:pt>
                <c:pt idx="195">
                  <c:v>-1.5864621893178214E-2</c:v>
                </c:pt>
                <c:pt idx="196">
                  <c:v>-9.9946265448682715E-3</c:v>
                </c:pt>
                <c:pt idx="197">
                  <c:v>-3.2457663916630582E-2</c:v>
                </c:pt>
                <c:pt idx="198">
                  <c:v>1.660495904858077E-2</c:v>
                </c:pt>
                <c:pt idx="199">
                  <c:v>-7.0632380531950182E-3</c:v>
                </c:pt>
                <c:pt idx="200">
                  <c:v>2.0784706013115533E-2</c:v>
                </c:pt>
                <c:pt idx="201">
                  <c:v>2.3301393728223003E-2</c:v>
                </c:pt>
                <c:pt idx="202">
                  <c:v>7.0227708022983244E-3</c:v>
                </c:pt>
                <c:pt idx="203">
                  <c:v>-1.5849535080304912E-3</c:v>
                </c:pt>
                <c:pt idx="204">
                  <c:v>6.8790348184993725E-3</c:v>
                </c:pt>
                <c:pt idx="205">
                  <c:v>-1.051082615094084E-4</c:v>
                </c:pt>
                <c:pt idx="206">
                  <c:v>2.1023862083464732E-2</c:v>
                </c:pt>
                <c:pt idx="207">
                  <c:v>1.4413672397817418E-3</c:v>
                </c:pt>
                <c:pt idx="208">
                  <c:v>-1.130872828210131E-2</c:v>
                </c:pt>
                <c:pt idx="209">
                  <c:v>-6.1349693251534099E-3</c:v>
                </c:pt>
                <c:pt idx="210">
                  <c:v>6.0682151077631127E-3</c:v>
                </c:pt>
                <c:pt idx="211">
                  <c:v>1.1647254575707202E-2</c:v>
                </c:pt>
                <c:pt idx="212">
                  <c:v>2.0559210526316083E-3</c:v>
                </c:pt>
                <c:pt idx="213">
                  <c:v>2.7697989331144442E-3</c:v>
                </c:pt>
                <c:pt idx="214">
                  <c:v>-1.6572890025575493E-2</c:v>
                </c:pt>
                <c:pt idx="215">
                  <c:v>2.4862165817122653E-2</c:v>
                </c:pt>
                <c:pt idx="216">
                  <c:v>4.0600893219651414E-3</c:v>
                </c:pt>
                <c:pt idx="217">
                  <c:v>4.6502224019408988E-3</c:v>
                </c:pt>
                <c:pt idx="218">
                  <c:v>-2.0426645200241511E-2</c:v>
                </c:pt>
                <c:pt idx="219">
                  <c:v>9.4504365690806554E-3</c:v>
                </c:pt>
                <c:pt idx="220">
                  <c:v>-1.913096570672632E-2</c:v>
                </c:pt>
                <c:pt idx="221">
                  <c:v>1.0374520178441747E-2</c:v>
                </c:pt>
                <c:pt idx="222">
                  <c:v>7.5983160488756023E-3</c:v>
                </c:pt>
                <c:pt idx="223">
                  <c:v>9.3753184551105852E-3</c:v>
                </c:pt>
                <c:pt idx="224">
                  <c:v>-3.0287733467946633E-4</c:v>
                </c:pt>
                <c:pt idx="225">
                  <c:v>-6.8672995354473101E-3</c:v>
                </c:pt>
                <c:pt idx="226">
                  <c:v>-9.660362009355326E-3</c:v>
                </c:pt>
                <c:pt idx="227">
                  <c:v>-4.1482698428996878E-2</c:v>
                </c:pt>
                <c:pt idx="228">
                  <c:v>-1.2961971076593399E-2</c:v>
                </c:pt>
                <c:pt idx="229">
                  <c:v>1.8992836987193402E-2</c:v>
                </c:pt>
                <c:pt idx="230">
                  <c:v>1.5976142294174638E-3</c:v>
                </c:pt>
                <c:pt idx="231">
                  <c:v>-2.3075287111867307E-2</c:v>
                </c:pt>
                <c:pt idx="232">
                  <c:v>-2.1007946010667321E-2</c:v>
                </c:pt>
                <c:pt idx="233">
                  <c:v>7.1158550144540872E-3</c:v>
                </c:pt>
                <c:pt idx="234">
                  <c:v>3.3119894016338833E-3</c:v>
                </c:pt>
                <c:pt idx="235">
                  <c:v>2.5858274647887418E-2</c:v>
                </c:pt>
                <c:pt idx="236">
                  <c:v>-2.0916014158532691E-2</c:v>
                </c:pt>
                <c:pt idx="237">
                  <c:v>-1.3694127957931639E-2</c:v>
                </c:pt>
                <c:pt idx="238">
                  <c:v>2.6768854826169017E-2</c:v>
                </c:pt>
                <c:pt idx="239">
                  <c:v>-2.9208135006490265E-3</c:v>
                </c:pt>
                <c:pt idx="240">
                  <c:v>4.9907779103829202E-3</c:v>
                </c:pt>
                <c:pt idx="241">
                  <c:v>1.7273021699233601E-2</c:v>
                </c:pt>
                <c:pt idx="242">
                  <c:v>-1.167356468216061E-3</c:v>
                </c:pt>
                <c:pt idx="243">
                  <c:v>1.9868253293667554E-2</c:v>
                </c:pt>
                <c:pt idx="244">
                  <c:v>-2.0835503698297763E-4</c:v>
                </c:pt>
                <c:pt idx="245">
                  <c:v>5.9393560487653162E-3</c:v>
                </c:pt>
                <c:pt idx="246">
                  <c:v>1.7609281126992696E-3</c:v>
                </c:pt>
                <c:pt idx="247">
                  <c:v>1.6544307724123759E-2</c:v>
                </c:pt>
                <c:pt idx="248">
                  <c:v>4.7299359169972445E-2</c:v>
                </c:pt>
                <c:pt idx="249">
                  <c:v>-1.1752136752136691E-2</c:v>
                </c:pt>
                <c:pt idx="250">
                  <c:v>2.8894348894348873E-2</c:v>
                </c:pt>
                <c:pt idx="251">
                  <c:v>1.1557932944884974E-2</c:v>
                </c:pt>
                <c:pt idx="252">
                  <c:v>2.6440037771482502E-2</c:v>
                </c:pt>
                <c:pt idx="253">
                  <c:v>3.1462741490340403E-2</c:v>
                </c:pt>
                <c:pt idx="254">
                  <c:v>-5.2622190510167978E-3</c:v>
                </c:pt>
                <c:pt idx="255">
                  <c:v>-5.003138169102482E-2</c:v>
                </c:pt>
                <c:pt idx="256">
                  <c:v>-2.2935346861727293E-2</c:v>
                </c:pt>
                <c:pt idx="257">
                  <c:v>-1.371715610510048E-2</c:v>
                </c:pt>
                <c:pt idx="258">
                  <c:v>2.7130264446621061E-2</c:v>
                </c:pt>
                <c:pt idx="259">
                  <c:v>-2.2504052636597684E-2</c:v>
                </c:pt>
                <c:pt idx="260">
                  <c:v>-8.2918739635158365E-3</c:v>
                </c:pt>
                <c:pt idx="261">
                  <c:v>2.6264017312610681E-2</c:v>
                </c:pt>
                <c:pt idx="262">
                  <c:v>-1.361065848749163E-2</c:v>
                </c:pt>
                <c:pt idx="263">
                  <c:v>-1.0203090078709525E-2</c:v>
                </c:pt>
                <c:pt idx="264">
                  <c:v>1.7278617710583203E-2</c:v>
                </c:pt>
                <c:pt idx="265">
                  <c:v>2.5091681142636501E-2</c:v>
                </c:pt>
                <c:pt idx="266">
                  <c:v>4.1423460741856315E-3</c:v>
                </c:pt>
                <c:pt idx="267">
                  <c:v>-2.9626851678229857E-2</c:v>
                </c:pt>
                <c:pt idx="268">
                  <c:v>-2.0966183574879244E-2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E-A346-A47E-8755359AC01B}"/>
            </c:ext>
          </c:extLst>
        </c:ser>
        <c:ser>
          <c:idx val="1"/>
          <c:order val="1"/>
          <c:tx>
            <c:strRef>
              <c:f>'3.8.1 Exchange Risk - CAD'!$G$1</c:f>
              <c:strCache>
                <c:ptCount val="1"/>
                <c:pt idx="0">
                  <c:v>Account Balance Differential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'3.8.1 Exchange Risk - CAD'!$A$2:$A$270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'3.8.1 Exchange Risk - CAD'!$G$2:$G$270</c:f>
              <c:numCache>
                <c:formatCode>0.000</c:formatCode>
                <c:ptCount val="269"/>
                <c:pt idx="0">
                  <c:v>5.3440441999999998E-2</c:v>
                </c:pt>
                <c:pt idx="1">
                  <c:v>5.3440440999999998E-2</c:v>
                </c:pt>
                <c:pt idx="2">
                  <c:v>4.4425445000000001E-2</c:v>
                </c:pt>
                <c:pt idx="3">
                  <c:v>4.4425445000000001E-2</c:v>
                </c:pt>
                <c:pt idx="4">
                  <c:v>4.4425445000000001E-2</c:v>
                </c:pt>
                <c:pt idx="5">
                  <c:v>6.252772999999999E-2</c:v>
                </c:pt>
                <c:pt idx="6">
                  <c:v>6.2527728000000005E-2</c:v>
                </c:pt>
                <c:pt idx="7">
                  <c:v>6.2527728000000005E-2</c:v>
                </c:pt>
                <c:pt idx="8">
                  <c:v>6.0764595000000005E-2</c:v>
                </c:pt>
                <c:pt idx="9">
                  <c:v>6.0764595000000005E-2</c:v>
                </c:pt>
                <c:pt idx="10">
                  <c:v>6.0764595000000005E-2</c:v>
                </c:pt>
                <c:pt idx="11">
                  <c:v>5.5863964000000002E-2</c:v>
                </c:pt>
                <c:pt idx="12">
                  <c:v>5.5863963000000003E-2</c:v>
                </c:pt>
                <c:pt idx="13">
                  <c:v>5.5863964000000002E-2</c:v>
                </c:pt>
                <c:pt idx="14">
                  <c:v>5.7476415000000003E-2</c:v>
                </c:pt>
                <c:pt idx="15">
                  <c:v>5.7476415000000003E-2</c:v>
                </c:pt>
                <c:pt idx="16">
                  <c:v>5.7476415000000003E-2</c:v>
                </c:pt>
                <c:pt idx="17">
                  <c:v>6.0118679000000001E-2</c:v>
                </c:pt>
                <c:pt idx="18">
                  <c:v>6.0118678000000002E-2</c:v>
                </c:pt>
                <c:pt idx="19">
                  <c:v>6.0118679000000001E-2</c:v>
                </c:pt>
                <c:pt idx="20">
                  <c:v>4.8791456000000004E-2</c:v>
                </c:pt>
                <c:pt idx="21">
                  <c:v>4.8791456000000004E-2</c:v>
                </c:pt>
                <c:pt idx="22">
                  <c:v>4.8791456000000004E-2</c:v>
                </c:pt>
                <c:pt idx="23">
                  <c:v>6.1583761000000001E-2</c:v>
                </c:pt>
                <c:pt idx="24">
                  <c:v>6.1583761000000001E-2</c:v>
                </c:pt>
                <c:pt idx="25">
                  <c:v>6.1583761000000001E-2</c:v>
                </c:pt>
                <c:pt idx="26">
                  <c:v>6.1029838000000003E-2</c:v>
                </c:pt>
                <c:pt idx="27">
                  <c:v>6.1029838000000003E-2</c:v>
                </c:pt>
                <c:pt idx="28">
                  <c:v>6.1029838000000003E-2</c:v>
                </c:pt>
                <c:pt idx="29">
                  <c:v>6.7017477000000006E-2</c:v>
                </c:pt>
                <c:pt idx="30">
                  <c:v>6.7017479000000005E-2</c:v>
                </c:pt>
                <c:pt idx="31">
                  <c:v>6.7017479000000005E-2</c:v>
                </c:pt>
                <c:pt idx="32">
                  <c:v>7.8729370000000007E-2</c:v>
                </c:pt>
                <c:pt idx="33">
                  <c:v>7.8729370000000007E-2</c:v>
                </c:pt>
                <c:pt idx="34">
                  <c:v>7.8729372000000006E-2</c:v>
                </c:pt>
                <c:pt idx="35">
                  <c:v>7.5906736000000002E-2</c:v>
                </c:pt>
                <c:pt idx="36">
                  <c:v>7.5906736000000002E-2</c:v>
                </c:pt>
                <c:pt idx="37">
                  <c:v>7.5906736000000002E-2</c:v>
                </c:pt>
                <c:pt idx="38">
                  <c:v>8.0024786999999986E-2</c:v>
                </c:pt>
                <c:pt idx="39">
                  <c:v>8.0024786999999986E-2</c:v>
                </c:pt>
                <c:pt idx="40">
                  <c:v>8.0024786999999986E-2</c:v>
                </c:pt>
                <c:pt idx="41">
                  <c:v>6.2549051000000008E-2</c:v>
                </c:pt>
                <c:pt idx="42">
                  <c:v>6.2549051499999994E-2</c:v>
                </c:pt>
                <c:pt idx="43">
                  <c:v>6.2549051000000008E-2</c:v>
                </c:pt>
                <c:pt idx="44">
                  <c:v>6.7003640000000003E-2</c:v>
                </c:pt>
                <c:pt idx="45">
                  <c:v>6.7003640000000003E-2</c:v>
                </c:pt>
                <c:pt idx="46">
                  <c:v>6.7003638000000004E-2</c:v>
                </c:pt>
                <c:pt idx="47">
                  <c:v>7.9303634999999997E-2</c:v>
                </c:pt>
                <c:pt idx="48">
                  <c:v>7.9303636999999996E-2</c:v>
                </c:pt>
                <c:pt idx="49">
                  <c:v>7.9303634999999997E-2</c:v>
                </c:pt>
                <c:pt idx="50">
                  <c:v>9.6919857999999998E-2</c:v>
                </c:pt>
                <c:pt idx="51">
                  <c:v>9.6919857999999998E-2</c:v>
                </c:pt>
                <c:pt idx="52">
                  <c:v>9.6919862999999995E-2</c:v>
                </c:pt>
                <c:pt idx="53">
                  <c:v>7.7183209000000003E-2</c:v>
                </c:pt>
                <c:pt idx="54">
                  <c:v>7.7183209000000003E-2</c:v>
                </c:pt>
                <c:pt idx="55">
                  <c:v>7.7183209000000003E-2</c:v>
                </c:pt>
                <c:pt idx="56">
                  <c:v>7.1760400000000002E-2</c:v>
                </c:pt>
                <c:pt idx="57">
                  <c:v>7.1760400000000002E-2</c:v>
                </c:pt>
                <c:pt idx="58">
                  <c:v>7.1760400000000002E-2</c:v>
                </c:pt>
                <c:pt idx="59">
                  <c:v>7.6110299000000006E-2</c:v>
                </c:pt>
                <c:pt idx="60">
                  <c:v>7.6110299000000006E-2</c:v>
                </c:pt>
                <c:pt idx="61">
                  <c:v>7.6110297999999993E-2</c:v>
                </c:pt>
                <c:pt idx="62">
                  <c:v>6.9288028000000002E-2</c:v>
                </c:pt>
                <c:pt idx="63">
                  <c:v>6.9288028000000002E-2</c:v>
                </c:pt>
                <c:pt idx="64">
                  <c:v>6.9288026000000003E-2</c:v>
                </c:pt>
                <c:pt idx="65">
                  <c:v>6.6627834999999996E-2</c:v>
                </c:pt>
                <c:pt idx="66">
                  <c:v>6.6627834999999996E-2</c:v>
                </c:pt>
                <c:pt idx="67">
                  <c:v>6.6627834999999996E-2</c:v>
                </c:pt>
                <c:pt idx="68">
                  <c:v>6.8680157000000006E-2</c:v>
                </c:pt>
                <c:pt idx="69">
                  <c:v>6.8680157000000006E-2</c:v>
                </c:pt>
                <c:pt idx="70">
                  <c:v>6.8680157000000006E-2</c:v>
                </c:pt>
                <c:pt idx="71">
                  <c:v>5.13602404E-2</c:v>
                </c:pt>
                <c:pt idx="72">
                  <c:v>5.13602404E-2</c:v>
                </c:pt>
                <c:pt idx="73">
                  <c:v>5.13602404E-2</c:v>
                </c:pt>
                <c:pt idx="74">
                  <c:v>5.0149040499999999E-2</c:v>
                </c:pt>
                <c:pt idx="75">
                  <c:v>5.0149040499999999E-2</c:v>
                </c:pt>
                <c:pt idx="76">
                  <c:v>5.0149040499999999E-2</c:v>
                </c:pt>
                <c:pt idx="77">
                  <c:v>5.8596340600000005E-2</c:v>
                </c:pt>
                <c:pt idx="78">
                  <c:v>5.8596341000000003E-2</c:v>
                </c:pt>
                <c:pt idx="79">
                  <c:v>5.8596340600000005E-2</c:v>
                </c:pt>
                <c:pt idx="80">
                  <c:v>6.1666211000000005E-2</c:v>
                </c:pt>
                <c:pt idx="81">
                  <c:v>6.1666209999999999E-2</c:v>
                </c:pt>
                <c:pt idx="82">
                  <c:v>6.1666211000000005E-2</c:v>
                </c:pt>
                <c:pt idx="83">
                  <c:v>5.7457457500000003E-2</c:v>
                </c:pt>
                <c:pt idx="84">
                  <c:v>5.7457457999999996E-2</c:v>
                </c:pt>
                <c:pt idx="85">
                  <c:v>5.7457457999999996E-2</c:v>
                </c:pt>
                <c:pt idx="86">
                  <c:v>1.5859036000000003E-2</c:v>
                </c:pt>
                <c:pt idx="87">
                  <c:v>1.5859036000000003E-2</c:v>
                </c:pt>
                <c:pt idx="88">
                  <c:v>1.5859036000000003E-2</c:v>
                </c:pt>
                <c:pt idx="89">
                  <c:v>1.5777599999999836E-4</c:v>
                </c:pt>
                <c:pt idx="90">
                  <c:v>1.5777799999999953E-4</c:v>
                </c:pt>
                <c:pt idx="91">
                  <c:v>1.577800000000007E-4</c:v>
                </c:pt>
                <c:pt idx="92">
                  <c:v>-4.0394599999999991E-3</c:v>
                </c:pt>
                <c:pt idx="93">
                  <c:v>-4.0394579999999984E-3</c:v>
                </c:pt>
                <c:pt idx="94">
                  <c:v>-4.0394579999999984E-3</c:v>
                </c:pt>
                <c:pt idx="95">
                  <c:v>-7.9147770000000013E-3</c:v>
                </c:pt>
                <c:pt idx="96">
                  <c:v>-7.9147809999999992E-3</c:v>
                </c:pt>
                <c:pt idx="97">
                  <c:v>-7.9147809999999992E-3</c:v>
                </c:pt>
                <c:pt idx="98">
                  <c:v>2.8372300000000016E-4</c:v>
                </c:pt>
                <c:pt idx="99">
                  <c:v>2.8372300000000016E-4</c:v>
                </c:pt>
                <c:pt idx="100">
                  <c:v>2.8372500000000133E-4</c:v>
                </c:pt>
                <c:pt idx="101">
                  <c:v>-4.4894909999999965E-3</c:v>
                </c:pt>
                <c:pt idx="102">
                  <c:v>-4.4894869999999986E-3</c:v>
                </c:pt>
                <c:pt idx="103">
                  <c:v>-4.4894869999999986E-3</c:v>
                </c:pt>
                <c:pt idx="104">
                  <c:v>-5.2518029999999967E-3</c:v>
                </c:pt>
                <c:pt idx="105">
                  <c:v>-5.2517980000000011E-3</c:v>
                </c:pt>
                <c:pt idx="106">
                  <c:v>-5.2517980000000011E-3</c:v>
                </c:pt>
                <c:pt idx="107">
                  <c:v>-1.7313817999999998E-2</c:v>
                </c:pt>
                <c:pt idx="108">
                  <c:v>-1.7313813999999997E-2</c:v>
                </c:pt>
                <c:pt idx="109">
                  <c:v>-1.7313817999999998E-2</c:v>
                </c:pt>
                <c:pt idx="110">
                  <c:v>-7.3493699999999768E-4</c:v>
                </c:pt>
                <c:pt idx="111">
                  <c:v>-7.3493699999999768E-4</c:v>
                </c:pt>
                <c:pt idx="112">
                  <c:v>-7.349399999999973E-4</c:v>
                </c:pt>
                <c:pt idx="113">
                  <c:v>2.1593200000000312E-4</c:v>
                </c:pt>
                <c:pt idx="114">
                  <c:v>2.1593399999999985E-4</c:v>
                </c:pt>
                <c:pt idx="115">
                  <c:v>2.1593399999999985E-4</c:v>
                </c:pt>
                <c:pt idx="116">
                  <c:v>-4.6513700000000213E-4</c:v>
                </c:pt>
                <c:pt idx="117">
                  <c:v>-4.6513400000000262E-4</c:v>
                </c:pt>
                <c:pt idx="118">
                  <c:v>-4.6513700000000213E-4</c:v>
                </c:pt>
                <c:pt idx="119">
                  <c:v>5.0894089999999979E-3</c:v>
                </c:pt>
                <c:pt idx="120">
                  <c:v>5.0894099999999965E-3</c:v>
                </c:pt>
                <c:pt idx="121">
                  <c:v>5.0894089999999979E-3</c:v>
                </c:pt>
                <c:pt idx="122">
                  <c:v>3.2927609999999995E-3</c:v>
                </c:pt>
                <c:pt idx="123">
                  <c:v>3.2927609999999995E-3</c:v>
                </c:pt>
                <c:pt idx="124">
                  <c:v>3.2927609999999995E-3</c:v>
                </c:pt>
                <c:pt idx="125">
                  <c:v>-7.0427800000000046E-4</c:v>
                </c:pt>
                <c:pt idx="126">
                  <c:v>-7.0427800000000046E-4</c:v>
                </c:pt>
                <c:pt idx="127">
                  <c:v>-7.0427800000000046E-4</c:v>
                </c:pt>
                <c:pt idx="128">
                  <c:v>-1.0955236E-2</c:v>
                </c:pt>
                <c:pt idx="129">
                  <c:v>-1.0955230999999999E-2</c:v>
                </c:pt>
                <c:pt idx="130">
                  <c:v>-1.0955236E-2</c:v>
                </c:pt>
                <c:pt idx="131">
                  <c:v>-1.3542309000000001E-2</c:v>
                </c:pt>
                <c:pt idx="132">
                  <c:v>-1.3542304999999999E-2</c:v>
                </c:pt>
                <c:pt idx="133">
                  <c:v>-1.3542304999999999E-2</c:v>
                </c:pt>
                <c:pt idx="134">
                  <c:v>-1.3149836999999999E-2</c:v>
                </c:pt>
                <c:pt idx="135">
                  <c:v>-1.3149836999999999E-2</c:v>
                </c:pt>
                <c:pt idx="136">
                  <c:v>-1.3149833000000001E-2</c:v>
                </c:pt>
                <c:pt idx="137">
                  <c:v>-1.0376441E-2</c:v>
                </c:pt>
                <c:pt idx="138">
                  <c:v>-1.0376441E-2</c:v>
                </c:pt>
                <c:pt idx="139">
                  <c:v>-1.0376441E-2</c:v>
                </c:pt>
                <c:pt idx="140">
                  <c:v>-1.1754090999999999E-2</c:v>
                </c:pt>
                <c:pt idx="141">
                  <c:v>-1.1754085999999999E-2</c:v>
                </c:pt>
                <c:pt idx="142">
                  <c:v>-1.1754085999999999E-2</c:v>
                </c:pt>
                <c:pt idx="143">
                  <c:v>-9.2648869999999977E-3</c:v>
                </c:pt>
                <c:pt idx="144">
                  <c:v>-9.2648839999999975E-3</c:v>
                </c:pt>
                <c:pt idx="145">
                  <c:v>-9.2648839999999975E-3</c:v>
                </c:pt>
                <c:pt idx="146">
                  <c:v>-1.3767561000000001E-2</c:v>
                </c:pt>
                <c:pt idx="147">
                  <c:v>-1.3767561000000001E-2</c:v>
                </c:pt>
                <c:pt idx="148">
                  <c:v>-1.3767561000000001E-2</c:v>
                </c:pt>
                <c:pt idx="149">
                  <c:v>-2.9039100000000009E-3</c:v>
                </c:pt>
                <c:pt idx="150">
                  <c:v>-2.903912000000002E-3</c:v>
                </c:pt>
                <c:pt idx="151">
                  <c:v>-2.9039100000000009E-3</c:v>
                </c:pt>
                <c:pt idx="152">
                  <c:v>-6.4786400000000017E-4</c:v>
                </c:pt>
                <c:pt idx="153">
                  <c:v>-6.4786400000000017E-4</c:v>
                </c:pt>
                <c:pt idx="154">
                  <c:v>-6.4786400000000017E-4</c:v>
                </c:pt>
                <c:pt idx="155">
                  <c:v>1.0705109999999984E-3</c:v>
                </c:pt>
                <c:pt idx="156">
                  <c:v>1.0705109999999984E-3</c:v>
                </c:pt>
                <c:pt idx="157">
                  <c:v>1.0705109999999984E-3</c:v>
                </c:pt>
                <c:pt idx="158">
                  <c:v>-6.2613129999999993E-3</c:v>
                </c:pt>
                <c:pt idx="159">
                  <c:v>-6.2613129999999993E-3</c:v>
                </c:pt>
                <c:pt idx="160">
                  <c:v>-6.2613129999999993E-3</c:v>
                </c:pt>
                <c:pt idx="161">
                  <c:v>-1.6933614999999999E-2</c:v>
                </c:pt>
                <c:pt idx="162">
                  <c:v>-1.6933614999999999E-2</c:v>
                </c:pt>
                <c:pt idx="163">
                  <c:v>-1.6933614999999999E-2</c:v>
                </c:pt>
                <c:pt idx="164">
                  <c:v>-1.1793833999999998E-2</c:v>
                </c:pt>
                <c:pt idx="165">
                  <c:v>-1.1793833999999998E-2</c:v>
                </c:pt>
                <c:pt idx="166">
                  <c:v>-1.1793833999999998E-2</c:v>
                </c:pt>
                <c:pt idx="167">
                  <c:v>-7.4573960000000024E-3</c:v>
                </c:pt>
                <c:pt idx="168">
                  <c:v>-7.4573960000000024E-3</c:v>
                </c:pt>
                <c:pt idx="169">
                  <c:v>-7.4573960000000024E-3</c:v>
                </c:pt>
                <c:pt idx="170">
                  <c:v>-1.4352384000000003E-2</c:v>
                </c:pt>
                <c:pt idx="171">
                  <c:v>-1.4352388000000001E-2</c:v>
                </c:pt>
                <c:pt idx="172">
                  <c:v>-1.4352384000000003E-2</c:v>
                </c:pt>
                <c:pt idx="173">
                  <c:v>-1.4855232000000003E-2</c:v>
                </c:pt>
                <c:pt idx="174">
                  <c:v>-1.4855228E-2</c:v>
                </c:pt>
                <c:pt idx="175">
                  <c:v>-1.4855228E-2</c:v>
                </c:pt>
                <c:pt idx="176">
                  <c:v>-1.4095896999999998E-2</c:v>
                </c:pt>
                <c:pt idx="177">
                  <c:v>-1.4095896999999998E-2</c:v>
                </c:pt>
                <c:pt idx="178">
                  <c:v>-1.4095895999999998E-2</c:v>
                </c:pt>
                <c:pt idx="179">
                  <c:v>-1.1171302999999999E-2</c:v>
                </c:pt>
                <c:pt idx="180">
                  <c:v>-1.1171302999999999E-2</c:v>
                </c:pt>
                <c:pt idx="181">
                  <c:v>-1.1171302999999999E-2</c:v>
                </c:pt>
                <c:pt idx="182">
                  <c:v>5.4548899999999905E-4</c:v>
                </c:pt>
                <c:pt idx="183">
                  <c:v>5.4548899999999905E-4</c:v>
                </c:pt>
                <c:pt idx="184">
                  <c:v>5.4548599999999943E-4</c:v>
                </c:pt>
                <c:pt idx="185">
                  <c:v>-4.3285339999999993E-3</c:v>
                </c:pt>
                <c:pt idx="186">
                  <c:v>-4.3285339999999993E-3</c:v>
                </c:pt>
                <c:pt idx="187">
                  <c:v>-4.328531E-3</c:v>
                </c:pt>
                <c:pt idx="188">
                  <c:v>-5.4226899999999965E-3</c:v>
                </c:pt>
                <c:pt idx="189">
                  <c:v>-5.4226899999999965E-3</c:v>
                </c:pt>
                <c:pt idx="190">
                  <c:v>-5.4226899999999965E-3</c:v>
                </c:pt>
                <c:pt idx="191">
                  <c:v>-1.6149682999999998E-2</c:v>
                </c:pt>
                <c:pt idx="192">
                  <c:v>-1.6149677999999997E-2</c:v>
                </c:pt>
                <c:pt idx="193">
                  <c:v>-1.6149677999999997E-2</c:v>
                </c:pt>
                <c:pt idx="194">
                  <c:v>-1.1443633999999998E-2</c:v>
                </c:pt>
                <c:pt idx="195">
                  <c:v>-1.1443632000000002E-2</c:v>
                </c:pt>
                <c:pt idx="196">
                  <c:v>-1.1443636E-2</c:v>
                </c:pt>
                <c:pt idx="197">
                  <c:v>-8.7560329999999981E-3</c:v>
                </c:pt>
                <c:pt idx="198">
                  <c:v>-8.7560329999999981E-3</c:v>
                </c:pt>
                <c:pt idx="199">
                  <c:v>-8.7560329999999981E-3</c:v>
                </c:pt>
                <c:pt idx="200">
                  <c:v>-7.4141500000000013E-3</c:v>
                </c:pt>
                <c:pt idx="201">
                  <c:v>-7.4141500000000013E-3</c:v>
                </c:pt>
                <c:pt idx="202">
                  <c:v>-7.414147000000002E-3</c:v>
                </c:pt>
                <c:pt idx="203">
                  <c:v>5.2353359999999993E-3</c:v>
                </c:pt>
                <c:pt idx="204">
                  <c:v>5.2353359999999993E-3</c:v>
                </c:pt>
                <c:pt idx="205">
                  <c:v>5.2353359999999993E-3</c:v>
                </c:pt>
                <c:pt idx="206">
                  <c:v>-3.5623960000000033E-3</c:v>
                </c:pt>
                <c:pt idx="207">
                  <c:v>-3.5623960000000033E-3</c:v>
                </c:pt>
                <c:pt idx="208">
                  <c:v>-3.562398E-3</c:v>
                </c:pt>
                <c:pt idx="209">
                  <c:v>-7.8371330000000013E-3</c:v>
                </c:pt>
                <c:pt idx="210">
                  <c:v>-7.837135000000002E-3</c:v>
                </c:pt>
                <c:pt idx="211">
                  <c:v>-7.837135000000002E-3</c:v>
                </c:pt>
                <c:pt idx="212">
                  <c:v>5.2130379999999988E-3</c:v>
                </c:pt>
                <c:pt idx="213">
                  <c:v>5.2130399999999978E-3</c:v>
                </c:pt>
                <c:pt idx="214">
                  <c:v>5.2130399999999978E-3</c:v>
                </c:pt>
                <c:pt idx="215">
                  <c:v>5.9276699999999849E-4</c:v>
                </c:pt>
                <c:pt idx="216">
                  <c:v>5.9276699999999849E-4</c:v>
                </c:pt>
                <c:pt idx="217">
                  <c:v>5.9276699999999849E-4</c:v>
                </c:pt>
                <c:pt idx="218">
                  <c:v>2.0139400000000005E-3</c:v>
                </c:pt>
                <c:pt idx="219">
                  <c:v>2.0139400000000005E-3</c:v>
                </c:pt>
                <c:pt idx="220">
                  <c:v>2.0139400000000005E-3</c:v>
                </c:pt>
                <c:pt idx="221">
                  <c:v>-1.3629284000000002E-2</c:v>
                </c:pt>
                <c:pt idx="222">
                  <c:v>-1.3629284000000002E-2</c:v>
                </c:pt>
                <c:pt idx="223">
                  <c:v>-1.3629284000000002E-2</c:v>
                </c:pt>
                <c:pt idx="224">
                  <c:v>1.8279915000000001E-2</c:v>
                </c:pt>
                <c:pt idx="225">
                  <c:v>1.8279916E-2</c:v>
                </c:pt>
                <c:pt idx="226">
                  <c:v>1.8279916E-2</c:v>
                </c:pt>
                <c:pt idx="227">
                  <c:v>1.1203659999999999E-2</c:v>
                </c:pt>
                <c:pt idx="228">
                  <c:v>1.1203659999999999E-2</c:v>
                </c:pt>
                <c:pt idx="229">
                  <c:v>1.1203659999999999E-2</c:v>
                </c:pt>
                <c:pt idx="230">
                  <c:v>2.4931473500000002E-2</c:v>
                </c:pt>
                <c:pt idx="231">
                  <c:v>2.4931473500000002E-2</c:v>
                </c:pt>
                <c:pt idx="232">
                  <c:v>2.4931473500000002E-2</c:v>
                </c:pt>
                <c:pt idx="233">
                  <c:v>3.3008102499999997E-2</c:v>
                </c:pt>
                <c:pt idx="234">
                  <c:v>3.3008102499999997E-2</c:v>
                </c:pt>
                <c:pt idx="235">
                  <c:v>3.3008102499999997E-2</c:v>
                </c:pt>
                <c:pt idx="236">
                  <c:v>3.1999200999999998E-2</c:v>
                </c:pt>
                <c:pt idx="237">
                  <c:v>3.19992017E-2</c:v>
                </c:pt>
                <c:pt idx="238">
                  <c:v>3.1999201400000003E-2</c:v>
                </c:pt>
                <c:pt idx="239">
                  <c:v>3.2870218999999999E-2</c:v>
                </c:pt>
                <c:pt idx="240">
                  <c:v>3.2870218999999999E-2</c:v>
                </c:pt>
                <c:pt idx="241">
                  <c:v>3.2870218999999999E-2</c:v>
                </c:pt>
                <c:pt idx="242">
                  <c:v>3.63278093E-2</c:v>
                </c:pt>
                <c:pt idx="243">
                  <c:v>3.63278093E-2</c:v>
                </c:pt>
                <c:pt idx="244">
                  <c:v>3.6327809339999996E-2</c:v>
                </c:pt>
                <c:pt idx="245">
                  <c:v>5.0058191999999994E-2</c:v>
                </c:pt>
                <c:pt idx="246">
                  <c:v>5.0058191000000002E-2</c:v>
                </c:pt>
                <c:pt idx="247">
                  <c:v>5.0058191000000002E-2</c:v>
                </c:pt>
                <c:pt idx="248">
                  <c:v>4.5478663000000003E-2</c:v>
                </c:pt>
                <c:pt idx="249">
                  <c:v>4.5478663000000003E-2</c:v>
                </c:pt>
                <c:pt idx="250">
                  <c:v>4.5478663000000003E-2</c:v>
                </c:pt>
                <c:pt idx="251">
                  <c:v>2.0805094000000003E-2</c:v>
                </c:pt>
                <c:pt idx="252">
                  <c:v>2.0805094000000003E-2</c:v>
                </c:pt>
                <c:pt idx="253">
                  <c:v>2.0805093E-2</c:v>
                </c:pt>
                <c:pt idx="254">
                  <c:v>2.2518943E-2</c:v>
                </c:pt>
                <c:pt idx="255">
                  <c:v>2.2518943E-2</c:v>
                </c:pt>
                <c:pt idx="256">
                  <c:v>2.2518943E-2</c:v>
                </c:pt>
                <c:pt idx="257">
                  <c:v>2.8154814E-2</c:v>
                </c:pt>
                <c:pt idx="258">
                  <c:v>2.8154814E-2</c:v>
                </c:pt>
                <c:pt idx="259">
                  <c:v>2.8154813000000001E-2</c:v>
                </c:pt>
                <c:pt idx="260">
                  <c:v>2.6078403000000003E-2</c:v>
                </c:pt>
                <c:pt idx="261">
                  <c:v>2.6078404000000003E-2</c:v>
                </c:pt>
                <c:pt idx="262">
                  <c:v>2.6078403000000003E-2</c:v>
                </c:pt>
                <c:pt idx="263">
                  <c:v>2.0732270000000001E-2</c:v>
                </c:pt>
                <c:pt idx="264">
                  <c:v>2.0732270000000001E-2</c:v>
                </c:pt>
                <c:pt idx="265">
                  <c:v>2.0732268999999998E-2</c:v>
                </c:pt>
                <c:pt idx="266">
                  <c:v>3.3786049700000001E-2</c:v>
                </c:pt>
                <c:pt idx="267">
                  <c:v>3.3786049700000001E-2</c:v>
                </c:pt>
                <c:pt idx="268">
                  <c:v>3.37860496E-2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E-A346-A47E-8755359AC01B}"/>
            </c:ext>
          </c:extLst>
        </c:ser>
        <c:ser>
          <c:idx val="2"/>
          <c:order val="2"/>
          <c:tx>
            <c:strRef>
              <c:f>'3.8.1 Exchange Risk - CAD'!$D$1</c:f>
              <c:strCache>
                <c:ptCount val="1"/>
                <c:pt idx="0">
                  <c:v>GDP Growth - 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'3.8.1 Exchange Risk - CAD'!$A$2:$A$270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'3.8.1 Exchange Risk - CAD'!$D$2:$D$270</c:f>
              <c:numCache>
                <c:formatCode>0.000</c:formatCode>
                <c:ptCount val="269"/>
                <c:pt idx="0">
                  <c:v>1.2591457214265E-2</c:v>
                </c:pt>
                <c:pt idx="1">
                  <c:v>1.1419699523748111E-2</c:v>
                </c:pt>
                <c:pt idx="2">
                  <c:v>1.1419699523748111E-2</c:v>
                </c:pt>
                <c:pt idx="3">
                  <c:v>1.1419699523748111E-2</c:v>
                </c:pt>
                <c:pt idx="4">
                  <c:v>1.0529205763641197E-2</c:v>
                </c:pt>
                <c:pt idx="5">
                  <c:v>1.0529205763641197E-2</c:v>
                </c:pt>
                <c:pt idx="6">
                  <c:v>1.0529205763641197E-2</c:v>
                </c:pt>
                <c:pt idx="7">
                  <c:v>1.3270984666617316E-2</c:v>
                </c:pt>
                <c:pt idx="8">
                  <c:v>1.3270984666617316E-2</c:v>
                </c:pt>
                <c:pt idx="9">
                  <c:v>1.3270984666617316E-2</c:v>
                </c:pt>
                <c:pt idx="10">
                  <c:v>1.324840982459214E-2</c:v>
                </c:pt>
                <c:pt idx="11">
                  <c:v>1.324840982459214E-2</c:v>
                </c:pt>
                <c:pt idx="12">
                  <c:v>1.324840982459214E-2</c:v>
                </c:pt>
                <c:pt idx="13">
                  <c:v>1.4653559921838923E-2</c:v>
                </c:pt>
                <c:pt idx="14">
                  <c:v>1.4653559921838923E-2</c:v>
                </c:pt>
                <c:pt idx="15">
                  <c:v>1.4653559921838923E-2</c:v>
                </c:pt>
                <c:pt idx="16">
                  <c:v>1.4410507056385571E-2</c:v>
                </c:pt>
                <c:pt idx="17">
                  <c:v>1.4410507056385571E-2</c:v>
                </c:pt>
                <c:pt idx="18">
                  <c:v>1.4410507056385571E-2</c:v>
                </c:pt>
                <c:pt idx="19">
                  <c:v>1.3888995309643831E-2</c:v>
                </c:pt>
                <c:pt idx="20">
                  <c:v>1.3888995309643831E-2</c:v>
                </c:pt>
                <c:pt idx="21">
                  <c:v>1.3888995309643831E-2</c:v>
                </c:pt>
                <c:pt idx="22">
                  <c:v>1.4350122901171946E-2</c:v>
                </c:pt>
                <c:pt idx="23">
                  <c:v>1.4350122901171946E-2</c:v>
                </c:pt>
                <c:pt idx="24">
                  <c:v>1.4350122901171946E-2</c:v>
                </c:pt>
                <c:pt idx="25">
                  <c:v>1.6174069933868995E-2</c:v>
                </c:pt>
                <c:pt idx="26">
                  <c:v>1.6174069933868995E-2</c:v>
                </c:pt>
                <c:pt idx="27">
                  <c:v>1.6174069933868995E-2</c:v>
                </c:pt>
                <c:pt idx="28">
                  <c:v>1.7435616809942732E-2</c:v>
                </c:pt>
                <c:pt idx="29">
                  <c:v>1.7435616809942732E-2</c:v>
                </c:pt>
                <c:pt idx="30">
                  <c:v>1.7435616809942732E-2</c:v>
                </c:pt>
                <c:pt idx="31">
                  <c:v>1.7481014512418517E-2</c:v>
                </c:pt>
                <c:pt idx="32">
                  <c:v>1.7481014512418517E-2</c:v>
                </c:pt>
                <c:pt idx="33">
                  <c:v>1.7481014512418517E-2</c:v>
                </c:pt>
                <c:pt idx="34">
                  <c:v>1.7355251976343609E-2</c:v>
                </c:pt>
                <c:pt idx="35">
                  <c:v>1.7355251976343609E-2</c:v>
                </c:pt>
                <c:pt idx="36">
                  <c:v>1.7355251976343609E-2</c:v>
                </c:pt>
                <c:pt idx="37">
                  <c:v>1.6503340615313181E-2</c:v>
                </c:pt>
                <c:pt idx="38">
                  <c:v>1.6503340615313181E-2</c:v>
                </c:pt>
                <c:pt idx="39">
                  <c:v>1.6503340615313181E-2</c:v>
                </c:pt>
                <c:pt idx="40">
                  <c:v>1.6325511882932093E-2</c:v>
                </c:pt>
                <c:pt idx="41">
                  <c:v>1.6325511882932093E-2</c:v>
                </c:pt>
                <c:pt idx="42">
                  <c:v>1.6325511882932093E-2</c:v>
                </c:pt>
                <c:pt idx="43">
                  <c:v>1.6995204298932077E-2</c:v>
                </c:pt>
                <c:pt idx="44">
                  <c:v>1.6995204298932077E-2</c:v>
                </c:pt>
                <c:pt idx="45">
                  <c:v>1.6995204298932077E-2</c:v>
                </c:pt>
                <c:pt idx="46">
                  <c:v>1.6652405391553656E-2</c:v>
                </c:pt>
                <c:pt idx="47">
                  <c:v>1.6652405391553656E-2</c:v>
                </c:pt>
                <c:pt idx="48">
                  <c:v>1.6652405391553656E-2</c:v>
                </c:pt>
                <c:pt idx="49">
                  <c:v>1.6446548057256233E-2</c:v>
                </c:pt>
                <c:pt idx="50">
                  <c:v>1.6446548057256233E-2</c:v>
                </c:pt>
                <c:pt idx="51">
                  <c:v>1.6446548057256233E-2</c:v>
                </c:pt>
                <c:pt idx="52">
                  <c:v>1.5837863046243007E-2</c:v>
                </c:pt>
                <c:pt idx="53">
                  <c:v>1.5837863046243007E-2</c:v>
                </c:pt>
                <c:pt idx="54">
                  <c:v>1.5837863046243007E-2</c:v>
                </c:pt>
                <c:pt idx="55">
                  <c:v>1.6151051764326376E-2</c:v>
                </c:pt>
                <c:pt idx="56">
                  <c:v>1.6151051764326376E-2</c:v>
                </c:pt>
                <c:pt idx="57">
                  <c:v>1.6151051764326376E-2</c:v>
                </c:pt>
                <c:pt idx="58">
                  <c:v>1.5838074335253579E-2</c:v>
                </c:pt>
                <c:pt idx="59">
                  <c:v>1.5838074335253579E-2</c:v>
                </c:pt>
                <c:pt idx="60">
                  <c:v>1.5838074335253579E-2</c:v>
                </c:pt>
                <c:pt idx="61">
                  <c:v>1.4925980976030644E-2</c:v>
                </c:pt>
                <c:pt idx="62">
                  <c:v>1.4925980976030644E-2</c:v>
                </c:pt>
                <c:pt idx="63">
                  <c:v>1.4925980976030644E-2</c:v>
                </c:pt>
                <c:pt idx="64">
                  <c:v>1.537506040913097E-2</c:v>
                </c:pt>
                <c:pt idx="65">
                  <c:v>1.537506040913097E-2</c:v>
                </c:pt>
                <c:pt idx="66">
                  <c:v>1.537506040913097E-2</c:v>
                </c:pt>
                <c:pt idx="67">
                  <c:v>1.3709542785744867E-2</c:v>
                </c:pt>
                <c:pt idx="68">
                  <c:v>1.3709542785744867E-2</c:v>
                </c:pt>
                <c:pt idx="69">
                  <c:v>1.3709542785744867E-2</c:v>
                </c:pt>
                <c:pt idx="70">
                  <c:v>1.4316559296847249E-2</c:v>
                </c:pt>
                <c:pt idx="71">
                  <c:v>1.4316559296847249E-2</c:v>
                </c:pt>
                <c:pt idx="72">
                  <c:v>1.4316559296847249E-2</c:v>
                </c:pt>
                <c:pt idx="73">
                  <c:v>1.4989672891687265E-2</c:v>
                </c:pt>
                <c:pt idx="74">
                  <c:v>1.4989672891687265E-2</c:v>
                </c:pt>
                <c:pt idx="75">
                  <c:v>1.4989672891687265E-2</c:v>
                </c:pt>
                <c:pt idx="76">
                  <c:v>1.4633123487540436E-2</c:v>
                </c:pt>
                <c:pt idx="77">
                  <c:v>1.4633123487540436E-2</c:v>
                </c:pt>
                <c:pt idx="78">
                  <c:v>1.4633123487540436E-2</c:v>
                </c:pt>
                <c:pt idx="79">
                  <c:v>1.3374629354738893E-2</c:v>
                </c:pt>
                <c:pt idx="80">
                  <c:v>1.3374629354738893E-2</c:v>
                </c:pt>
                <c:pt idx="81">
                  <c:v>1.3374629354738893E-2</c:v>
                </c:pt>
                <c:pt idx="82">
                  <c:v>1.3343882602656398E-2</c:v>
                </c:pt>
                <c:pt idx="83">
                  <c:v>1.3343882602656398E-2</c:v>
                </c:pt>
                <c:pt idx="84">
                  <c:v>1.3343882602656398E-2</c:v>
                </c:pt>
                <c:pt idx="85">
                  <c:v>1.0817820088993504E-2</c:v>
                </c:pt>
                <c:pt idx="86">
                  <c:v>1.0817820088993504E-2</c:v>
                </c:pt>
                <c:pt idx="87">
                  <c:v>1.0817820088993504E-2</c:v>
                </c:pt>
                <c:pt idx="88">
                  <c:v>-1.1550900774934043E-2</c:v>
                </c:pt>
                <c:pt idx="89">
                  <c:v>-1.1550900774934043E-2</c:v>
                </c:pt>
                <c:pt idx="90">
                  <c:v>-1.1550900774934043E-2</c:v>
                </c:pt>
                <c:pt idx="91">
                  <c:v>-1.3072995670032199E-2</c:v>
                </c:pt>
                <c:pt idx="92">
                  <c:v>-1.3072995670032199E-2</c:v>
                </c:pt>
                <c:pt idx="93">
                  <c:v>-1.3072995670032199E-2</c:v>
                </c:pt>
                <c:pt idx="94">
                  <c:v>-1.4388498081299925E-2</c:v>
                </c:pt>
                <c:pt idx="95">
                  <c:v>-1.4388498081299925E-2</c:v>
                </c:pt>
                <c:pt idx="96">
                  <c:v>-1.4388498081299925E-2</c:v>
                </c:pt>
                <c:pt idx="97">
                  <c:v>-1.2872148311146527E-2</c:v>
                </c:pt>
                <c:pt idx="98">
                  <c:v>-1.2872148311146527E-2</c:v>
                </c:pt>
                <c:pt idx="99">
                  <c:v>-1.2872148311146527E-2</c:v>
                </c:pt>
                <c:pt idx="100">
                  <c:v>1.0340209494338178E-2</c:v>
                </c:pt>
                <c:pt idx="101">
                  <c:v>1.0340209494338178E-2</c:v>
                </c:pt>
                <c:pt idx="102">
                  <c:v>1.0340209494338178E-2</c:v>
                </c:pt>
                <c:pt idx="103">
                  <c:v>1.4002138278837237E-2</c:v>
                </c:pt>
                <c:pt idx="104">
                  <c:v>1.4002138278837237E-2</c:v>
                </c:pt>
                <c:pt idx="105">
                  <c:v>1.4002138278837237E-2</c:v>
                </c:pt>
                <c:pt idx="106">
                  <c:v>1.575888565540369E-2</c:v>
                </c:pt>
                <c:pt idx="107">
                  <c:v>1.575888565540369E-2</c:v>
                </c:pt>
                <c:pt idx="108">
                  <c:v>1.575888565540369E-2</c:v>
                </c:pt>
                <c:pt idx="109">
                  <c:v>1.6316868882601167E-2</c:v>
                </c:pt>
                <c:pt idx="110">
                  <c:v>1.6316868882601167E-2</c:v>
                </c:pt>
                <c:pt idx="111">
                  <c:v>1.6316868882601167E-2</c:v>
                </c:pt>
                <c:pt idx="112">
                  <c:v>1.5571935213835082E-2</c:v>
                </c:pt>
                <c:pt idx="113">
                  <c:v>1.5571935213835082E-2</c:v>
                </c:pt>
                <c:pt idx="114">
                  <c:v>1.5571935213835082E-2</c:v>
                </c:pt>
                <c:pt idx="115">
                  <c:v>1.4482821829050117E-2</c:v>
                </c:pt>
                <c:pt idx="116">
                  <c:v>1.4482821829050117E-2</c:v>
                </c:pt>
                <c:pt idx="117">
                  <c:v>1.4482821829050117E-2</c:v>
                </c:pt>
                <c:pt idx="118">
                  <c:v>1.3999492838770757E-2</c:v>
                </c:pt>
                <c:pt idx="119">
                  <c:v>1.3999492838770757E-2</c:v>
                </c:pt>
                <c:pt idx="120">
                  <c:v>1.3999492838770757E-2</c:v>
                </c:pt>
                <c:pt idx="121">
                  <c:v>1.2477619558515134E-2</c:v>
                </c:pt>
                <c:pt idx="122">
                  <c:v>1.2477619558515134E-2</c:v>
                </c:pt>
                <c:pt idx="123">
                  <c:v>1.2477619558515134E-2</c:v>
                </c:pt>
                <c:pt idx="124">
                  <c:v>1.3649591869257151E-2</c:v>
                </c:pt>
                <c:pt idx="125">
                  <c:v>1.3649591869257151E-2</c:v>
                </c:pt>
                <c:pt idx="126">
                  <c:v>1.3649591869257151E-2</c:v>
                </c:pt>
                <c:pt idx="127">
                  <c:v>1.5380004407909754E-2</c:v>
                </c:pt>
                <c:pt idx="128">
                  <c:v>1.5380004407909754E-2</c:v>
                </c:pt>
                <c:pt idx="129">
                  <c:v>1.5380004407909754E-2</c:v>
                </c:pt>
                <c:pt idx="130">
                  <c:v>1.5041879262637553E-2</c:v>
                </c:pt>
                <c:pt idx="131">
                  <c:v>1.5041879262637553E-2</c:v>
                </c:pt>
                <c:pt idx="132">
                  <c:v>1.5041879262637553E-2</c:v>
                </c:pt>
                <c:pt idx="133">
                  <c:v>1.5288797244473629E-2</c:v>
                </c:pt>
                <c:pt idx="134">
                  <c:v>1.5288797244473629E-2</c:v>
                </c:pt>
                <c:pt idx="135">
                  <c:v>1.5288797244473629E-2</c:v>
                </c:pt>
                <c:pt idx="136">
                  <c:v>1.3665287652515765E-2</c:v>
                </c:pt>
                <c:pt idx="137">
                  <c:v>1.3665287652515765E-2</c:v>
                </c:pt>
                <c:pt idx="138">
                  <c:v>1.3665287652515765E-2</c:v>
                </c:pt>
                <c:pt idx="139">
                  <c:v>1.39262929005061E-2</c:v>
                </c:pt>
                <c:pt idx="140">
                  <c:v>1.39262929005061E-2</c:v>
                </c:pt>
                <c:pt idx="141">
                  <c:v>1.39262929005061E-2</c:v>
                </c:pt>
                <c:pt idx="142">
                  <c:v>1.3608069209377316E-2</c:v>
                </c:pt>
                <c:pt idx="143">
                  <c:v>1.3608069209377316E-2</c:v>
                </c:pt>
                <c:pt idx="144">
                  <c:v>1.3608069209377316E-2</c:v>
                </c:pt>
                <c:pt idx="145">
                  <c:v>1.4792742058515648E-2</c:v>
                </c:pt>
                <c:pt idx="146">
                  <c:v>1.4792742058515648E-2</c:v>
                </c:pt>
                <c:pt idx="147">
                  <c:v>1.4792742058515648E-2</c:v>
                </c:pt>
                <c:pt idx="148">
                  <c:v>1.588610272560553E-2</c:v>
                </c:pt>
                <c:pt idx="149">
                  <c:v>1.588610272560553E-2</c:v>
                </c:pt>
                <c:pt idx="150">
                  <c:v>1.588610272560553E-2</c:v>
                </c:pt>
                <c:pt idx="151">
                  <c:v>1.3839694401963936E-2</c:v>
                </c:pt>
                <c:pt idx="152">
                  <c:v>1.3839694401963936E-2</c:v>
                </c:pt>
                <c:pt idx="153">
                  <c:v>1.3839694401963936E-2</c:v>
                </c:pt>
                <c:pt idx="154">
                  <c:v>1.545165694081365E-2</c:v>
                </c:pt>
                <c:pt idx="155">
                  <c:v>1.545165694081365E-2</c:v>
                </c:pt>
                <c:pt idx="156">
                  <c:v>1.545165694081365E-2</c:v>
                </c:pt>
                <c:pt idx="157">
                  <c:v>1.5952711547205053E-2</c:v>
                </c:pt>
                <c:pt idx="158">
                  <c:v>1.5952711547205053E-2</c:v>
                </c:pt>
                <c:pt idx="159">
                  <c:v>1.5952711547205053E-2</c:v>
                </c:pt>
                <c:pt idx="160">
                  <c:v>1.5447045374331322E-2</c:v>
                </c:pt>
                <c:pt idx="161">
                  <c:v>1.5447045374331322E-2</c:v>
                </c:pt>
                <c:pt idx="162">
                  <c:v>1.5447045374331322E-2</c:v>
                </c:pt>
                <c:pt idx="163">
                  <c:v>1.7064673716631083E-2</c:v>
                </c:pt>
                <c:pt idx="164">
                  <c:v>1.7064673716631083E-2</c:v>
                </c:pt>
                <c:pt idx="165">
                  <c:v>1.7064673716631083E-2</c:v>
                </c:pt>
                <c:pt idx="166">
                  <c:v>1.6234937679949296E-2</c:v>
                </c:pt>
                <c:pt idx="167">
                  <c:v>1.6234937679949296E-2</c:v>
                </c:pt>
                <c:pt idx="168">
                  <c:v>1.6234937679949296E-2</c:v>
                </c:pt>
                <c:pt idx="169">
                  <c:v>1.5106366334405343E-2</c:v>
                </c:pt>
                <c:pt idx="170">
                  <c:v>1.5106366334405343E-2</c:v>
                </c:pt>
                <c:pt idx="171">
                  <c:v>1.5106366334405343E-2</c:v>
                </c:pt>
                <c:pt idx="172">
                  <c:v>1.4612050943554705E-2</c:v>
                </c:pt>
                <c:pt idx="173">
                  <c:v>1.4612050943554705E-2</c:v>
                </c:pt>
                <c:pt idx="174">
                  <c:v>1.4612050943554705E-2</c:v>
                </c:pt>
                <c:pt idx="175">
                  <c:v>1.4086235750514977E-2</c:v>
                </c:pt>
                <c:pt idx="176">
                  <c:v>1.4086235750514977E-2</c:v>
                </c:pt>
                <c:pt idx="177">
                  <c:v>1.4086235750514977E-2</c:v>
                </c:pt>
                <c:pt idx="178">
                  <c:v>1.3559868538853083E-2</c:v>
                </c:pt>
                <c:pt idx="179">
                  <c:v>1.3559868538853083E-2</c:v>
                </c:pt>
                <c:pt idx="180">
                  <c:v>1.3559868538853083E-2</c:v>
                </c:pt>
                <c:pt idx="181">
                  <c:v>1.4104269786475561E-2</c:v>
                </c:pt>
                <c:pt idx="182">
                  <c:v>1.4104269786475561E-2</c:v>
                </c:pt>
                <c:pt idx="183">
                  <c:v>1.4104269786475561E-2</c:v>
                </c:pt>
                <c:pt idx="184">
                  <c:v>1.4707800478430606E-2</c:v>
                </c:pt>
                <c:pt idx="185">
                  <c:v>1.4707800478430606E-2</c:v>
                </c:pt>
                <c:pt idx="186">
                  <c:v>1.4707800478430606E-2</c:v>
                </c:pt>
                <c:pt idx="187">
                  <c:v>1.4561325680324312E-2</c:v>
                </c:pt>
                <c:pt idx="188">
                  <c:v>1.4561325680324312E-2</c:v>
                </c:pt>
                <c:pt idx="189">
                  <c:v>1.4561325680324312E-2</c:v>
                </c:pt>
                <c:pt idx="190">
                  <c:v>1.4933659024217602E-2</c:v>
                </c:pt>
                <c:pt idx="191">
                  <c:v>1.4933659024217602E-2</c:v>
                </c:pt>
                <c:pt idx="192">
                  <c:v>1.4933659024217602E-2</c:v>
                </c:pt>
                <c:pt idx="193">
                  <c:v>1.5052874143413629E-2</c:v>
                </c:pt>
                <c:pt idx="194">
                  <c:v>1.5052874143413629E-2</c:v>
                </c:pt>
                <c:pt idx="195">
                  <c:v>1.5052874143413629E-2</c:v>
                </c:pt>
                <c:pt idx="196">
                  <c:v>1.5866248434432455E-2</c:v>
                </c:pt>
                <c:pt idx="197">
                  <c:v>1.5866248434432455E-2</c:v>
                </c:pt>
                <c:pt idx="198">
                  <c:v>1.5866248434432455E-2</c:v>
                </c:pt>
                <c:pt idx="199">
                  <c:v>1.6297550286124184E-2</c:v>
                </c:pt>
                <c:pt idx="200">
                  <c:v>1.6297550286124184E-2</c:v>
                </c:pt>
                <c:pt idx="201">
                  <c:v>1.6297550286124184E-2</c:v>
                </c:pt>
                <c:pt idx="202">
                  <c:v>1.6260030540961451E-2</c:v>
                </c:pt>
                <c:pt idx="203">
                  <c:v>1.6260030540961451E-2</c:v>
                </c:pt>
                <c:pt idx="204">
                  <c:v>1.6260030540961451E-2</c:v>
                </c:pt>
                <c:pt idx="205">
                  <c:v>1.6044201215837078E-2</c:v>
                </c:pt>
                <c:pt idx="206">
                  <c:v>1.6044201215837078E-2</c:v>
                </c:pt>
                <c:pt idx="207">
                  <c:v>1.6044201215837078E-2</c:v>
                </c:pt>
                <c:pt idx="208">
                  <c:v>1.462024416918075E-2</c:v>
                </c:pt>
                <c:pt idx="209">
                  <c:v>1.462024416918075E-2</c:v>
                </c:pt>
                <c:pt idx="210">
                  <c:v>1.462024416918075E-2</c:v>
                </c:pt>
                <c:pt idx="211">
                  <c:v>1.4314896534297466E-2</c:v>
                </c:pt>
                <c:pt idx="212">
                  <c:v>1.4314896534297466E-2</c:v>
                </c:pt>
                <c:pt idx="213">
                  <c:v>1.4314896534297466E-2</c:v>
                </c:pt>
                <c:pt idx="214">
                  <c:v>1.4800687057220539E-2</c:v>
                </c:pt>
                <c:pt idx="215">
                  <c:v>1.4800687057220539E-2</c:v>
                </c:pt>
                <c:pt idx="216">
                  <c:v>1.4800687057220539E-2</c:v>
                </c:pt>
                <c:pt idx="217">
                  <c:v>1.5600942305560462E-2</c:v>
                </c:pt>
                <c:pt idx="218">
                  <c:v>1.5600942305560462E-2</c:v>
                </c:pt>
                <c:pt idx="219">
                  <c:v>1.5600942305560462E-2</c:v>
                </c:pt>
                <c:pt idx="220">
                  <c:v>1.6326070916365853E-2</c:v>
                </c:pt>
                <c:pt idx="221">
                  <c:v>1.6326070916365853E-2</c:v>
                </c:pt>
                <c:pt idx="222">
                  <c:v>1.6326070916365853E-2</c:v>
                </c:pt>
                <c:pt idx="223">
                  <c:v>1.3162423742811851E-2</c:v>
                </c:pt>
                <c:pt idx="224">
                  <c:v>1.3162423742811851E-2</c:v>
                </c:pt>
                <c:pt idx="225">
                  <c:v>1.3162423742811851E-2</c:v>
                </c:pt>
                <c:pt idx="226">
                  <c:v>-1.866501384529522E-2</c:v>
                </c:pt>
                <c:pt idx="227">
                  <c:v>-1.866501384529522E-2</c:v>
                </c:pt>
                <c:pt idx="228">
                  <c:v>-1.866501384529522E-2</c:v>
                </c:pt>
                <c:pt idx="229">
                  <c:v>-7.4465804164323213E-3</c:v>
                </c:pt>
                <c:pt idx="230">
                  <c:v>-7.4465804164323213E-3</c:v>
                </c:pt>
                <c:pt idx="231">
                  <c:v>-7.4465804164323213E-3</c:v>
                </c:pt>
                <c:pt idx="232">
                  <c:v>-2.6368375431709682E-3</c:v>
                </c:pt>
                <c:pt idx="233">
                  <c:v>-2.6368375431709682E-3</c:v>
                </c:pt>
                <c:pt idx="234">
                  <c:v>-2.6368375431709682E-3</c:v>
                </c:pt>
                <c:pt idx="235">
                  <c:v>1.4035336245860515E-2</c:v>
                </c:pt>
                <c:pt idx="236">
                  <c:v>1.4035336245860515E-2</c:v>
                </c:pt>
                <c:pt idx="237">
                  <c:v>1.4035336245860515E-2</c:v>
                </c:pt>
                <c:pt idx="238">
                  <c:v>2.3656766892583069E-2</c:v>
                </c:pt>
                <c:pt idx="239">
                  <c:v>2.3656766892583069E-2</c:v>
                </c:pt>
                <c:pt idx="240">
                  <c:v>2.3656766892583069E-2</c:v>
                </c:pt>
                <c:pt idx="241">
                  <c:v>1.8147401166451135E-2</c:v>
                </c:pt>
                <c:pt idx="242">
                  <c:v>1.8147401166451135E-2</c:v>
                </c:pt>
                <c:pt idx="243">
                  <c:v>1.8147401166451135E-2</c:v>
                </c:pt>
                <c:pt idx="244">
                  <c:v>1.8873284764387446E-2</c:v>
                </c:pt>
                <c:pt idx="245">
                  <c:v>1.8873284764387446E-2</c:v>
                </c:pt>
                <c:pt idx="246">
                  <c:v>1.8873284764387446E-2</c:v>
                </c:pt>
                <c:pt idx="247">
                  <c:v>1.711659526835518E-2</c:v>
                </c:pt>
                <c:pt idx="248">
                  <c:v>1.711659526835518E-2</c:v>
                </c:pt>
                <c:pt idx="249">
                  <c:v>1.711659526835518E-2</c:v>
                </c:pt>
                <c:pt idx="250">
                  <c:v>1.5152456622908577E-2</c:v>
                </c:pt>
                <c:pt idx="251">
                  <c:v>1.5152456622908577E-2</c:v>
                </c:pt>
                <c:pt idx="252">
                  <c:v>1.5152456622908577E-2</c:v>
                </c:pt>
                <c:pt idx="253">
                  <c:v>1.4882754246254626E-2</c:v>
                </c:pt>
                <c:pt idx="254">
                  <c:v>1.4882754246254626E-2</c:v>
                </c:pt>
                <c:pt idx="255">
                  <c:v>1.4882754246254626E-2</c:v>
                </c:pt>
                <c:pt idx="256">
                  <c:v>1.3231142606487591E-2</c:v>
                </c:pt>
                <c:pt idx="257">
                  <c:v>1.3231142606487591E-2</c:v>
                </c:pt>
                <c:pt idx="258">
                  <c:v>1.3231142606487591E-2</c:v>
                </c:pt>
                <c:pt idx="259">
                  <c:v>1.4859139132822665E-2</c:v>
                </c:pt>
                <c:pt idx="260">
                  <c:v>1.4859139132822665E-2</c:v>
                </c:pt>
                <c:pt idx="261">
                  <c:v>1.4859139132822665E-2</c:v>
                </c:pt>
                <c:pt idx="262">
                  <c:v>1.5644992290422672E-2</c:v>
                </c:pt>
                <c:pt idx="263">
                  <c:v>1.5644992290422672E-2</c:v>
                </c:pt>
                <c:pt idx="264">
                  <c:v>1.5644992290422672E-2</c:v>
                </c:pt>
                <c:pt idx="265">
                  <c:v>1.6180448648406801E-2</c:v>
                </c:pt>
                <c:pt idx="266">
                  <c:v>1.6180448648406801E-2</c:v>
                </c:pt>
                <c:pt idx="267">
                  <c:v>1.6180448648406801E-2</c:v>
                </c:pt>
                <c:pt idx="268">
                  <c:v>1.6129424733692631E-2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3E-A346-A47E-8755359AC01B}"/>
            </c:ext>
          </c:extLst>
        </c:ser>
        <c:ser>
          <c:idx val="3"/>
          <c:order val="3"/>
          <c:tx>
            <c:strRef>
              <c:f>'3.8.1 Exchange Risk - CAD'!$F$1</c:f>
              <c:strCache>
                <c:ptCount val="1"/>
                <c:pt idx="0">
                  <c:v>Inflation Rate Differential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'3.8.1 Exchange Risk - CAD'!$F$2:$F$270</c:f>
              <c:numCache>
                <c:formatCode>0.000</c:formatCode>
                <c:ptCount val="269"/>
                <c:pt idx="0">
                  <c:v>1.0574450000000013E-3</c:v>
                </c:pt>
                <c:pt idx="1">
                  <c:v>1.4710900000000304E-4</c:v>
                </c:pt>
                <c:pt idx="2">
                  <c:v>-2.5851420000000003E-3</c:v>
                </c:pt>
                <c:pt idx="3">
                  <c:v>-1.274548E-2</c:v>
                </c:pt>
                <c:pt idx="4">
                  <c:v>-8.8200604999999991E-3</c:v>
                </c:pt>
                <c:pt idx="5">
                  <c:v>1.4708160000000015E-3</c:v>
                </c:pt>
                <c:pt idx="6">
                  <c:v>4.1162559999999978E-3</c:v>
                </c:pt>
                <c:pt idx="7">
                  <c:v>3.8790999999999999E-3</c:v>
                </c:pt>
                <c:pt idx="8">
                  <c:v>9.4252499999999853E-4</c:v>
                </c:pt>
                <c:pt idx="9">
                  <c:v>-2.2456800000000012E-3</c:v>
                </c:pt>
                <c:pt idx="10">
                  <c:v>1.5029720000000002E-3</c:v>
                </c:pt>
                <c:pt idx="11">
                  <c:v>7.7699679999999986E-3</c:v>
                </c:pt>
                <c:pt idx="12">
                  <c:v>7.9835199999999974E-3</c:v>
                </c:pt>
                <c:pt idx="13">
                  <c:v>9.2303529999999984E-3</c:v>
                </c:pt>
                <c:pt idx="14">
                  <c:v>1.2349706999999998E-2</c:v>
                </c:pt>
                <c:pt idx="15">
                  <c:v>2.0585931999999998E-2</c:v>
                </c:pt>
                <c:pt idx="16">
                  <c:v>1.4091947000000001E-2</c:v>
                </c:pt>
                <c:pt idx="17">
                  <c:v>1.6258307000000003E-2</c:v>
                </c:pt>
                <c:pt idx="18">
                  <c:v>1.4271092000000003E-2</c:v>
                </c:pt>
                <c:pt idx="19">
                  <c:v>1.2258139000000003E-2</c:v>
                </c:pt>
                <c:pt idx="20">
                  <c:v>6.3894440000000019E-3</c:v>
                </c:pt>
                <c:pt idx="21">
                  <c:v>8.2214910000000026E-3</c:v>
                </c:pt>
                <c:pt idx="22">
                  <c:v>7.6207380000000002E-3</c:v>
                </c:pt>
                <c:pt idx="23">
                  <c:v>1.3785809999999987E-3</c:v>
                </c:pt>
                <c:pt idx="24">
                  <c:v>-1.3065430000000022E-3</c:v>
                </c:pt>
                <c:pt idx="25">
                  <c:v>-1.957867000000002E-3</c:v>
                </c:pt>
                <c:pt idx="26">
                  <c:v>-4.6248010000000004E-3</c:v>
                </c:pt>
                <c:pt idx="27">
                  <c:v>-4.5199590000000005E-3</c:v>
                </c:pt>
                <c:pt idx="28">
                  <c:v>3.3760599999999919E-4</c:v>
                </c:pt>
                <c:pt idx="29">
                  <c:v>-7.5676300000000005E-3</c:v>
                </c:pt>
                <c:pt idx="30">
                  <c:v>-9.1100709999999991E-3</c:v>
                </c:pt>
                <c:pt idx="31">
                  <c:v>-1.06048064E-2</c:v>
                </c:pt>
                <c:pt idx="32">
                  <c:v>-6.3080310000000004E-3</c:v>
                </c:pt>
                <c:pt idx="33">
                  <c:v>-3.5124760000000022E-3</c:v>
                </c:pt>
                <c:pt idx="34">
                  <c:v>-7.2387200000000006E-3</c:v>
                </c:pt>
                <c:pt idx="35">
                  <c:v>-6.9567630000000012E-3</c:v>
                </c:pt>
                <c:pt idx="36">
                  <c:v>-6.9918040000000016E-3</c:v>
                </c:pt>
                <c:pt idx="37">
                  <c:v>-7.9158700000000002E-3</c:v>
                </c:pt>
                <c:pt idx="38">
                  <c:v>-9.5575100000000017E-3</c:v>
                </c:pt>
                <c:pt idx="39">
                  <c:v>-1.0997979999999997E-2</c:v>
                </c:pt>
                <c:pt idx="40">
                  <c:v>-1.2187674000000004E-2</c:v>
                </c:pt>
                <c:pt idx="41">
                  <c:v>-8.197999000000001E-3</c:v>
                </c:pt>
                <c:pt idx="42">
                  <c:v>-9.3150980000000008E-3</c:v>
                </c:pt>
                <c:pt idx="43">
                  <c:v>-7.9604659999999994E-3</c:v>
                </c:pt>
                <c:pt idx="44">
                  <c:v>-1.0540993999999996E-2</c:v>
                </c:pt>
                <c:pt idx="45">
                  <c:v>-1.3411098000000002E-2</c:v>
                </c:pt>
                <c:pt idx="46">
                  <c:v>-8.2347360000000029E-3</c:v>
                </c:pt>
                <c:pt idx="47">
                  <c:v>-1.158755E-2</c:v>
                </c:pt>
                <c:pt idx="48">
                  <c:v>-1.1636498E-2</c:v>
                </c:pt>
                <c:pt idx="49">
                  <c:v>-1.4021330000000005E-2</c:v>
                </c:pt>
                <c:pt idx="50">
                  <c:v>-1.5934449999999999E-2</c:v>
                </c:pt>
                <c:pt idx="51">
                  <c:v>-1.2571898E-2</c:v>
                </c:pt>
                <c:pt idx="52">
                  <c:v>-1.2591647999999997E-2</c:v>
                </c:pt>
                <c:pt idx="53">
                  <c:v>-1.0887250999999995E-2</c:v>
                </c:pt>
                <c:pt idx="54">
                  <c:v>-1.1831043999999999E-2</c:v>
                </c:pt>
                <c:pt idx="55">
                  <c:v>-1.1580186000000001E-2</c:v>
                </c:pt>
                <c:pt idx="56">
                  <c:v>-1.0762506999999998E-2</c:v>
                </c:pt>
                <c:pt idx="57">
                  <c:v>-1.2491445000000004E-2</c:v>
                </c:pt>
                <c:pt idx="58">
                  <c:v>-1.8365164999999996E-2</c:v>
                </c:pt>
                <c:pt idx="59">
                  <c:v>-1.8574780000000003E-2</c:v>
                </c:pt>
                <c:pt idx="60">
                  <c:v>-1.9694362E-2</c:v>
                </c:pt>
                <c:pt idx="61">
                  <c:v>-1.3657295999999999E-2</c:v>
                </c:pt>
                <c:pt idx="62">
                  <c:v>-4.8125490000000002E-3</c:v>
                </c:pt>
                <c:pt idx="63">
                  <c:v>-4.8584479999999996E-3</c:v>
                </c:pt>
                <c:pt idx="64">
                  <c:v>-7.6471159999999981E-3</c:v>
                </c:pt>
                <c:pt idx="65">
                  <c:v>-8.8202019999999975E-3</c:v>
                </c:pt>
                <c:pt idx="66">
                  <c:v>-4.8479119999999985E-3</c:v>
                </c:pt>
                <c:pt idx="67">
                  <c:v>-4.0408759999999997E-3</c:v>
                </c:pt>
                <c:pt idx="68">
                  <c:v>-3.9310339999999973E-3</c:v>
                </c:pt>
                <c:pt idx="69">
                  <c:v>-6.0364759999999998E-3</c:v>
                </c:pt>
                <c:pt idx="70">
                  <c:v>-6.7624879999999979E-3</c:v>
                </c:pt>
                <c:pt idx="71">
                  <c:v>-3.0323659999999999E-3</c:v>
                </c:pt>
                <c:pt idx="72">
                  <c:v>-1.6069710000000015E-3</c:v>
                </c:pt>
                <c:pt idx="73">
                  <c:v>-3.5677190000000004E-3</c:v>
                </c:pt>
                <c:pt idx="74">
                  <c:v>-1.0442423999999999E-2</c:v>
                </c:pt>
                <c:pt idx="75">
                  <c:v>-1.9075109000000007E-2</c:v>
                </c:pt>
                <c:pt idx="76">
                  <c:v>-1.6520380999999994E-2</c:v>
                </c:pt>
                <c:pt idx="77">
                  <c:v>-2.2983180000000002E-2</c:v>
                </c:pt>
                <c:pt idx="78">
                  <c:v>-2.3346285999999997E-2</c:v>
                </c:pt>
                <c:pt idx="79">
                  <c:v>-2.5360527000000001E-2</c:v>
                </c:pt>
                <c:pt idx="80">
                  <c:v>-2.2894038999999998E-2</c:v>
                </c:pt>
                <c:pt idx="81">
                  <c:v>-1.7565792E-2</c:v>
                </c:pt>
                <c:pt idx="82">
                  <c:v>-1.7014700000000001E-2</c:v>
                </c:pt>
                <c:pt idx="83">
                  <c:v>-1.9068643999999999E-2</c:v>
                </c:pt>
                <c:pt idx="84">
                  <c:v>-1.6242894999999997E-2</c:v>
                </c:pt>
                <c:pt idx="85">
                  <c:v>-1.5513436999999998E-2</c:v>
                </c:pt>
                <c:pt idx="86">
                  <c:v>-1.2288340999999998E-2</c:v>
                </c:pt>
                <c:pt idx="87">
                  <c:v>7.7174549999999998E-3</c:v>
                </c:pt>
                <c:pt idx="88">
                  <c:v>1.1767652999999999E-2</c:v>
                </c:pt>
                <c:pt idx="89">
                  <c:v>1.2701552699999999E-2</c:v>
                </c:pt>
                <c:pt idx="90">
                  <c:v>1.3236802570000001E-2</c:v>
                </c:pt>
                <c:pt idx="91">
                  <c:v>1.5102994000000002E-2</c:v>
                </c:pt>
                <c:pt idx="92">
                  <c:v>9.2934942000000003E-3</c:v>
                </c:pt>
                <c:pt idx="93">
                  <c:v>1.10340408E-2</c:v>
                </c:pt>
                <c:pt idx="94">
                  <c:v>1.05509613E-2</c:v>
                </c:pt>
                <c:pt idx="95">
                  <c:v>1.0055774699999999E-2</c:v>
                </c:pt>
                <c:pt idx="96">
                  <c:v>7.0394279999999995E-3</c:v>
                </c:pt>
                <c:pt idx="97">
                  <c:v>5.987290000000001E-3</c:v>
                </c:pt>
                <c:pt idx="98">
                  <c:v>3.1115879000000002E-3</c:v>
                </c:pt>
                <c:pt idx="99">
                  <c:v>-9.5221029999999988E-3</c:v>
                </c:pt>
                <c:pt idx="100">
                  <c:v>-1.4971836000000002E-2</c:v>
                </c:pt>
                <c:pt idx="101">
                  <c:v>-7.7413139999999991E-3</c:v>
                </c:pt>
                <c:pt idx="102">
                  <c:v>-5.7377560000000027E-3</c:v>
                </c:pt>
                <c:pt idx="103">
                  <c:v>-8.8266370000000018E-3</c:v>
                </c:pt>
                <c:pt idx="104">
                  <c:v>-5.3569369999999974E-3</c:v>
                </c:pt>
                <c:pt idx="105">
                  <c:v>-6.9006520000000028E-3</c:v>
                </c:pt>
                <c:pt idx="106">
                  <c:v>1.1839699999999898E-4</c:v>
                </c:pt>
                <c:pt idx="107">
                  <c:v>6.714514999999999E-3</c:v>
                </c:pt>
                <c:pt idx="108">
                  <c:v>5.9654760000000008E-3</c:v>
                </c:pt>
                <c:pt idx="109">
                  <c:v>7.1414510000000009E-3</c:v>
                </c:pt>
                <c:pt idx="110">
                  <c:v>1.0981117000000002E-2</c:v>
                </c:pt>
                <c:pt idx="111">
                  <c:v>9.0851749999999992E-3</c:v>
                </c:pt>
                <c:pt idx="112">
                  <c:v>9.8855280000000011E-3</c:v>
                </c:pt>
                <c:pt idx="113">
                  <c:v>5.4447409999999995E-3</c:v>
                </c:pt>
                <c:pt idx="114">
                  <c:v>-5.4151300000000009E-4</c:v>
                </c:pt>
                <c:pt idx="115">
                  <c:v>4.084379E-3</c:v>
                </c:pt>
                <c:pt idx="116">
                  <c:v>3.8298129999999996E-3</c:v>
                </c:pt>
                <c:pt idx="117">
                  <c:v>2.5753279999999991E-3</c:v>
                </c:pt>
                <c:pt idx="118">
                  <c:v>-3.9887260000000023E-3</c:v>
                </c:pt>
                <c:pt idx="119">
                  <c:v>-8.3544420000000001E-3</c:v>
                </c:pt>
                <c:pt idx="120">
                  <c:v>-6.6487809999999968E-3</c:v>
                </c:pt>
                <c:pt idx="121">
                  <c:v>-5.5641850000000036E-3</c:v>
                </c:pt>
                <c:pt idx="122">
                  <c:v>-5.4099629999999977E-3</c:v>
                </c:pt>
                <c:pt idx="123">
                  <c:v>-6.4769530000000006E-3</c:v>
                </c:pt>
                <c:pt idx="124">
                  <c:v>-8.624095E-3</c:v>
                </c:pt>
                <c:pt idx="125">
                  <c:v>-3.9052560000000015E-3</c:v>
                </c:pt>
                <c:pt idx="126">
                  <c:v>-2.7771649999999994E-3</c:v>
                </c:pt>
                <c:pt idx="127">
                  <c:v>-5.6776140000000018E-3</c:v>
                </c:pt>
                <c:pt idx="128">
                  <c:v>-3.5009040000000004E-3</c:v>
                </c:pt>
                <c:pt idx="129">
                  <c:v>-4.8793749999999992E-3</c:v>
                </c:pt>
                <c:pt idx="130">
                  <c:v>-3.1607969999999995E-3</c:v>
                </c:pt>
                <c:pt idx="131">
                  <c:v>-2.4890649999999991E-3</c:v>
                </c:pt>
                <c:pt idx="132">
                  <c:v>-3.5369519999999999E-3</c:v>
                </c:pt>
                <c:pt idx="133">
                  <c:v>-7.8789080000000004E-3</c:v>
                </c:pt>
                <c:pt idx="134">
                  <c:v>-1.0804218999999999E-2</c:v>
                </c:pt>
                <c:pt idx="135">
                  <c:v>-8.8691856999999989E-3</c:v>
                </c:pt>
                <c:pt idx="136">
                  <c:v>-7.6610913999999994E-3</c:v>
                </c:pt>
                <c:pt idx="137">
                  <c:v>-1.1902349999999999E-2</c:v>
                </c:pt>
                <c:pt idx="138">
                  <c:v>-7.825478999999998E-3</c:v>
                </c:pt>
                <c:pt idx="139">
                  <c:v>-4.4878119999999999E-3</c:v>
                </c:pt>
                <c:pt idx="140">
                  <c:v>-8.1065626000000005E-3</c:v>
                </c:pt>
                <c:pt idx="141">
                  <c:v>-7.3195230000000014E-3</c:v>
                </c:pt>
                <c:pt idx="142">
                  <c:v>-5.6068380000000003E-3</c:v>
                </c:pt>
                <c:pt idx="143">
                  <c:v>-5.653295E-3</c:v>
                </c:pt>
                <c:pt idx="144">
                  <c:v>-5.5277540000000002E-3</c:v>
                </c:pt>
                <c:pt idx="145">
                  <c:v>-1.1032264000000003E-3</c:v>
                </c:pt>
                <c:pt idx="146">
                  <c:v>-2.2213595000000006E-3</c:v>
                </c:pt>
                <c:pt idx="147">
                  <c:v>-3.3197340000000008E-3</c:v>
                </c:pt>
                <c:pt idx="148">
                  <c:v>-2.0137400000000017E-3</c:v>
                </c:pt>
                <c:pt idx="149">
                  <c:v>-8.3556900000000042E-4</c:v>
                </c:pt>
                <c:pt idx="150">
                  <c:v>1.8661199999999933E-4</c:v>
                </c:pt>
                <c:pt idx="151">
                  <c:v>-2.2833230000000016E-3</c:v>
                </c:pt>
                <c:pt idx="152">
                  <c:v>1.9254449999999989E-3</c:v>
                </c:pt>
                <c:pt idx="153">
                  <c:v>1.2250519999999999E-3</c:v>
                </c:pt>
                <c:pt idx="154">
                  <c:v>2.2487759999999966E-3</c:v>
                </c:pt>
                <c:pt idx="155">
                  <c:v>1.4302609999999993E-3</c:v>
                </c:pt>
                <c:pt idx="156">
                  <c:v>4.0043619999999992E-3</c:v>
                </c:pt>
                <c:pt idx="157">
                  <c:v>4.2805430000000012E-3</c:v>
                </c:pt>
                <c:pt idx="158">
                  <c:v>7.4818919999999987E-3</c:v>
                </c:pt>
                <c:pt idx="159">
                  <c:v>7.9768159999999994E-3</c:v>
                </c:pt>
                <c:pt idx="160">
                  <c:v>8.8409430000000004E-3</c:v>
                </c:pt>
                <c:pt idx="161">
                  <c:v>1.1984547299999999E-2</c:v>
                </c:pt>
                <c:pt idx="162">
                  <c:v>1.0524376300000001E-2</c:v>
                </c:pt>
                <c:pt idx="163">
                  <c:v>1.307171367E-2</c:v>
                </c:pt>
                <c:pt idx="164">
                  <c:v>7.4403799999999999E-3</c:v>
                </c:pt>
                <c:pt idx="165">
                  <c:v>9.2419242399999994E-3</c:v>
                </c:pt>
                <c:pt idx="166">
                  <c:v>9.3685880000000006E-3</c:v>
                </c:pt>
                <c:pt idx="167">
                  <c:v>1.1299671000000001E-2</c:v>
                </c:pt>
                <c:pt idx="168">
                  <c:v>1.0335889900000001E-2</c:v>
                </c:pt>
                <c:pt idx="169">
                  <c:v>1.0253760089999999E-2</c:v>
                </c:pt>
                <c:pt idx="170">
                  <c:v>9.0492855999999983E-3</c:v>
                </c:pt>
                <c:pt idx="171">
                  <c:v>8.3656835000000002E-3</c:v>
                </c:pt>
                <c:pt idx="172">
                  <c:v>8.7521834999999999E-3</c:v>
                </c:pt>
                <c:pt idx="173">
                  <c:v>6.8096340000000002E-3</c:v>
                </c:pt>
                <c:pt idx="174">
                  <c:v>5.8698423999999994E-3</c:v>
                </c:pt>
                <c:pt idx="175">
                  <c:v>3.7720944999999994E-3</c:v>
                </c:pt>
                <c:pt idx="176">
                  <c:v>4.9667710000000009E-3</c:v>
                </c:pt>
                <c:pt idx="177">
                  <c:v>5.0505990000000002E-3</c:v>
                </c:pt>
                <c:pt idx="178">
                  <c:v>3.4027189999999985E-3</c:v>
                </c:pt>
                <c:pt idx="179">
                  <c:v>2.3313210000000008E-3</c:v>
                </c:pt>
                <c:pt idx="180">
                  <c:v>1.2486350000000001E-3</c:v>
                </c:pt>
                <c:pt idx="181">
                  <c:v>-1.3132380000000011E-3</c:v>
                </c:pt>
                <c:pt idx="182">
                  <c:v>-1.9219340000000008E-3</c:v>
                </c:pt>
                <c:pt idx="183">
                  <c:v>-4.2747259999999995E-3</c:v>
                </c:pt>
                <c:pt idx="184">
                  <c:v>-5.5943679999999989E-3</c:v>
                </c:pt>
                <c:pt idx="185">
                  <c:v>-4.7117450000000007E-3</c:v>
                </c:pt>
                <c:pt idx="186">
                  <c:v>-7.6794720000000006E-3</c:v>
                </c:pt>
                <c:pt idx="187">
                  <c:v>-8.7501539999999996E-3</c:v>
                </c:pt>
                <c:pt idx="188">
                  <c:v>-4.561145E-3</c:v>
                </c:pt>
                <c:pt idx="189">
                  <c:v>-6.0926879999999997E-3</c:v>
                </c:pt>
                <c:pt idx="190">
                  <c:v>-6.2967850000000001E-3</c:v>
                </c:pt>
                <c:pt idx="191">
                  <c:v>-4.7996139999999989E-3</c:v>
                </c:pt>
                <c:pt idx="192">
                  <c:v>-5.2844310000000009E-3</c:v>
                </c:pt>
                <c:pt idx="193">
                  <c:v>-7.0541539999999991E-3</c:v>
                </c:pt>
                <c:pt idx="194">
                  <c:v>-6.2650179999999998E-3</c:v>
                </c:pt>
                <c:pt idx="195">
                  <c:v>-2.5940000000002072E-6</c:v>
                </c:pt>
                <c:pt idx="196">
                  <c:v>-1.9643910000000011E-3</c:v>
                </c:pt>
                <c:pt idx="197">
                  <c:v>-4.6031029999999973E-3</c:v>
                </c:pt>
                <c:pt idx="198">
                  <c:v>-1.8494199999999994E-3</c:v>
                </c:pt>
                <c:pt idx="199">
                  <c:v>-1.7917699999999925E-4</c:v>
                </c:pt>
                <c:pt idx="200">
                  <c:v>-3.9567940000000013E-3</c:v>
                </c:pt>
                <c:pt idx="201">
                  <c:v>-4.7246000000000033E-3</c:v>
                </c:pt>
                <c:pt idx="202">
                  <c:v>-3.4412289999999988E-3</c:v>
                </c:pt>
                <c:pt idx="203">
                  <c:v>-8.7038999999999866E-4</c:v>
                </c:pt>
                <c:pt idx="204">
                  <c:v>4.1129900000000055E-4</c:v>
                </c:pt>
                <c:pt idx="205">
                  <c:v>3.9798299999999732E-4</c:v>
                </c:pt>
                <c:pt idx="206">
                  <c:v>2.8983399999999994E-4</c:v>
                </c:pt>
                <c:pt idx="207">
                  <c:v>-4.0093910000000019E-3</c:v>
                </c:pt>
                <c:pt idx="208">
                  <c:v>-1.0556790000000006E-3</c:v>
                </c:pt>
                <c:pt idx="209">
                  <c:v>2.411770000000013E-4</c:v>
                </c:pt>
                <c:pt idx="210">
                  <c:v>6.4848599999999923E-4</c:v>
                </c:pt>
                <c:pt idx="211">
                  <c:v>7.5779999999991963E-6</c:v>
                </c:pt>
                <c:pt idx="212">
                  <c:v>1.0785529999999977E-3</c:v>
                </c:pt>
                <c:pt idx="213">
                  <c:v>5.3667420000000025E-3</c:v>
                </c:pt>
                <c:pt idx="214">
                  <c:v>4.3247889999999999E-3</c:v>
                </c:pt>
                <c:pt idx="215">
                  <c:v>1.9312249999999987E-3</c:v>
                </c:pt>
                <c:pt idx="216">
                  <c:v>1.2942720000000008E-3</c:v>
                </c:pt>
                <c:pt idx="217">
                  <c:v>1.8396250000000003E-3</c:v>
                </c:pt>
                <c:pt idx="218">
                  <c:v>1.2890399999999991E-3</c:v>
                </c:pt>
                <c:pt idx="219">
                  <c:v>-2.7346999999999787E-5</c:v>
                </c:pt>
                <c:pt idx="220">
                  <c:v>-8.5725300000000009E-4</c:v>
                </c:pt>
                <c:pt idx="221">
                  <c:v>-2.1706039999999983E-3</c:v>
                </c:pt>
                <c:pt idx="222">
                  <c:v>-1.1415700000000006E-3</c:v>
                </c:pt>
                <c:pt idx="223">
                  <c:v>-6.8041539999999989E-3</c:v>
                </c:pt>
                <c:pt idx="224">
                  <c:v>-3.1305562999999997E-3</c:v>
                </c:pt>
                <c:pt idx="225">
                  <c:v>-6.3937035999999999E-3</c:v>
                </c:pt>
                <c:pt idx="226">
                  <c:v>-2.7514502E-3</c:v>
                </c:pt>
                <c:pt idx="227">
                  <c:v>-9.2354363000000002E-3</c:v>
                </c:pt>
                <c:pt idx="228">
                  <c:v>-9.8781106E-3</c:v>
                </c:pt>
                <c:pt idx="229">
                  <c:v>-8.0408705999999996E-3</c:v>
                </c:pt>
                <c:pt idx="230">
                  <c:v>-6.4515159999999992E-3</c:v>
                </c:pt>
                <c:pt idx="231">
                  <c:v>-2.9854985000000002E-3</c:v>
                </c:pt>
                <c:pt idx="232">
                  <c:v>-4.4643143999999997E-3</c:v>
                </c:pt>
                <c:pt idx="233">
                  <c:v>-1.9166550000000004E-3</c:v>
                </c:pt>
                <c:pt idx="234">
                  <c:v>-4.3292529999999999E-3</c:v>
                </c:pt>
                <c:pt idx="235">
                  <c:v>-2.758980000000002E-3</c:v>
                </c:pt>
                <c:pt idx="236">
                  <c:v>-9.6629450000000009E-3</c:v>
                </c:pt>
                <c:pt idx="237">
                  <c:v>-1.3075651999999995E-2</c:v>
                </c:pt>
                <c:pt idx="238">
                  <c:v>-2.2404916E-2</c:v>
                </c:pt>
                <c:pt idx="239">
                  <c:v>-1.6794350000000003E-2</c:v>
                </c:pt>
                <c:pt idx="240">
                  <c:v>-1.1608740000000006E-2</c:v>
                </c:pt>
                <c:pt idx="241">
                  <c:v>-9.8715270000000015E-3</c:v>
                </c:pt>
                <c:pt idx="242">
                  <c:v>-1.5720536999999996E-2</c:v>
                </c:pt>
                <c:pt idx="243">
                  <c:v>-2.1554184000000004E-2</c:v>
                </c:pt>
                <c:pt idx="244">
                  <c:v>-2.3219005000000001E-2</c:v>
                </c:pt>
                <c:pt idx="245">
                  <c:v>-2.4019586000000002E-2</c:v>
                </c:pt>
                <c:pt idx="246">
                  <c:v>-2.2820787000000006E-2</c:v>
                </c:pt>
                <c:pt idx="247">
                  <c:v>-1.8024265000000001E-2</c:v>
                </c:pt>
                <c:pt idx="248">
                  <c:v>-1.4445885E-2</c:v>
                </c:pt>
                <c:pt idx="249">
                  <c:v>-8.3224900000000001E-3</c:v>
                </c:pt>
                <c:pt idx="250">
                  <c:v>-8.2588500000000137E-3</c:v>
                </c:pt>
                <c:pt idx="251">
                  <c:v>-8.0987150000000081E-3</c:v>
                </c:pt>
                <c:pt idx="252">
                  <c:v>-1.3293725000000008E-2</c:v>
                </c:pt>
                <c:pt idx="253">
                  <c:v>-1.4272789999999995E-2</c:v>
                </c:pt>
                <c:pt idx="254">
                  <c:v>-9.469677000000001E-3</c:v>
                </c:pt>
                <c:pt idx="255">
                  <c:v>-3.493661999999995E-3</c:v>
                </c:pt>
                <c:pt idx="256">
                  <c:v>-2.1248999999999986E-3</c:v>
                </c:pt>
                <c:pt idx="257">
                  <c:v>-4.6196269999999994E-3</c:v>
                </c:pt>
                <c:pt idx="258">
                  <c:v>-5.9444400000000022E-3</c:v>
                </c:pt>
                <c:pt idx="259">
                  <c:v>-5.6600960000000007E-3</c:v>
                </c:pt>
                <c:pt idx="260">
                  <c:v>-5.292680000000001E-3</c:v>
                </c:pt>
                <c:pt idx="261">
                  <c:v>-8.1625000000000014E-3</c:v>
                </c:pt>
                <c:pt idx="262">
                  <c:v>-2.3402379999999967E-3</c:v>
                </c:pt>
                <c:pt idx="263">
                  <c:v>4.8327000000001342E-5</c:v>
                </c:pt>
                <c:pt idx="264">
                  <c:v>2.9188349999999998E-3</c:v>
                </c:pt>
                <c:pt idx="265">
                  <c:v>1.0074329999999999E-3</c:v>
                </c:pt>
                <c:pt idx="266">
                  <c:v>-1.2357179999999968E-3</c:v>
                </c:pt>
                <c:pt idx="267">
                  <c:v>-9.3843899999999979E-4</c:v>
                </c:pt>
                <c:pt idx="268">
                  <c:v>5.0054499999999894E-4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3E-A346-A47E-8755359AC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864128"/>
        <c:axId val="1075419488"/>
      </c:lineChart>
      <c:dateAx>
        <c:axId val="16558641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75419488"/>
        <c:crosses val="autoZero"/>
        <c:auto val="1"/>
        <c:lblOffset val="100"/>
        <c:baseTimeUnit val="months"/>
      </c:dateAx>
      <c:valAx>
        <c:axId val="10754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5586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EUR/USD Movements with Macroeconomic</a:t>
            </a:r>
            <a:r>
              <a:rPr lang="en-US" baseline="0"/>
              <a:t> Factors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'3.8.2 Exchange Risk - EUR'!$B$1</c:f>
              <c:strCache>
                <c:ptCount val="1"/>
                <c:pt idx="0">
                  <c:v>Exchange Rate Returns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'3.8.2 Exchange Risk - EUR'!$A$2:$A$270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'3.8.2 Exchange Risk - EUR'!$B$2:$B$270</c:f>
              <c:numCache>
                <c:formatCode>0.000</c:formatCode>
                <c:ptCount val="269"/>
                <c:pt idx="1">
                  <c:v>5.2900722976549348E-4</c:v>
                </c:pt>
                <c:pt idx="2">
                  <c:v>1.2160733168840284E-2</c:v>
                </c:pt>
                <c:pt idx="3">
                  <c:v>1.1056938882117326E-2</c:v>
                </c:pt>
                <c:pt idx="4">
                  <c:v>5.3388443985189406E-3</c:v>
                </c:pt>
                <c:pt idx="5">
                  <c:v>2.989293361884364E-2</c:v>
                </c:pt>
                <c:pt idx="6">
                  <c:v>-8.9820359281436984E-3</c:v>
                </c:pt>
                <c:pt idx="7">
                  <c:v>-4.5317220543805983E-3</c:v>
                </c:pt>
                <c:pt idx="8">
                  <c:v>-2.8915865789917439E-2</c:v>
                </c:pt>
                <c:pt idx="9">
                  <c:v>-2.9342824897994578E-2</c:v>
                </c:pt>
                <c:pt idx="10">
                  <c:v>-5.0979339951703805E-2</c:v>
                </c:pt>
                <c:pt idx="11">
                  <c:v>1.2251437187823929E-2</c:v>
                </c:pt>
                <c:pt idx="12">
                  <c:v>-4.0033516432361289E-3</c:v>
                </c:pt>
                <c:pt idx="13">
                  <c:v>-1.0282295756216062E-3</c:v>
                </c:pt>
                <c:pt idx="14">
                  <c:v>-2.1521474688874706E-3</c:v>
                </c:pt>
                <c:pt idx="15">
                  <c:v>-2.1567891972993623E-3</c:v>
                </c:pt>
                <c:pt idx="16">
                  <c:v>-4.2853115308711609E-2</c:v>
                </c:pt>
                <c:pt idx="17">
                  <c:v>-1.9047619047619025E-2</c:v>
                </c:pt>
                <c:pt idx="18">
                  <c:v>-2.001801621459342E-3</c:v>
                </c:pt>
                <c:pt idx="19">
                  <c:v>-6.518904823989485E-3</c:v>
                </c:pt>
                <c:pt idx="20">
                  <c:v>-1.8877448011306325E-2</c:v>
                </c:pt>
                <c:pt idx="21">
                  <c:v>-4.0333367630414667E-2</c:v>
                </c:pt>
                <c:pt idx="22">
                  <c:v>1.5653479146563825E-2</c:v>
                </c:pt>
                <c:pt idx="23">
                  <c:v>2.2801646785601145E-2</c:v>
                </c:pt>
                <c:pt idx="24">
                  <c:v>1.2488388894622704E-2</c:v>
                </c:pt>
                <c:pt idx="25">
                  <c:v>-5.3516819571865444E-2</c:v>
                </c:pt>
                <c:pt idx="26">
                  <c:v>-1.2924071082389913E-3</c:v>
                </c:pt>
                <c:pt idx="27">
                  <c:v>-2.7175671303785291E-2</c:v>
                </c:pt>
                <c:pt idx="28">
                  <c:v>-3.6470457820640644E-2</c:v>
                </c:pt>
                <c:pt idx="29">
                  <c:v>3.2213529682466767E-3</c:v>
                </c:pt>
                <c:pt idx="30">
                  <c:v>1.2614678899082502E-3</c:v>
                </c:pt>
                <c:pt idx="31">
                  <c:v>3.4360325277745635E-3</c:v>
                </c:pt>
                <c:pt idx="32">
                  <c:v>3.2758817486588342E-2</c:v>
                </c:pt>
                <c:pt idx="33">
                  <c:v>-1.6909814323607438E-2</c:v>
                </c:pt>
                <c:pt idx="34">
                  <c:v>-1.6863406408095074E-3</c:v>
                </c:pt>
                <c:pt idx="35">
                  <c:v>1.3063063063063025E-2</c:v>
                </c:pt>
                <c:pt idx="36">
                  <c:v>-1.1338372610048867E-2</c:v>
                </c:pt>
                <c:pt idx="37">
                  <c:v>-1.7764785248482105E-2</c:v>
                </c:pt>
                <c:pt idx="38">
                  <c:v>-2.8044871794871827E-2</c:v>
                </c:pt>
                <c:pt idx="39">
                  <c:v>-3.6391473324696777E-2</c:v>
                </c:pt>
                <c:pt idx="40">
                  <c:v>-1.1855292104619884E-2</c:v>
                </c:pt>
                <c:pt idx="41">
                  <c:v>3.4013605442176874E-2</c:v>
                </c:pt>
                <c:pt idx="42">
                  <c:v>-1.3038277511961594E-2</c:v>
                </c:pt>
                <c:pt idx="43">
                  <c:v>1.8785601745242964E-2</c:v>
                </c:pt>
                <c:pt idx="44">
                  <c:v>4.4016178919819718E-3</c:v>
                </c:pt>
                <c:pt idx="45">
                  <c:v>3.9440957005803599E-2</c:v>
                </c:pt>
                <c:pt idx="46">
                  <c:v>1.5382862351868667E-2</c:v>
                </c:pt>
                <c:pt idx="47">
                  <c:v>2.6933004152170899E-3</c:v>
                </c:pt>
                <c:pt idx="48">
                  <c:v>-1.9809736989367614E-2</c:v>
                </c:pt>
                <c:pt idx="49">
                  <c:v>2.2151176067595316E-2</c:v>
                </c:pt>
                <c:pt idx="50">
                  <c:v>6.1438784629132843E-3</c:v>
                </c:pt>
                <c:pt idx="51">
                  <c:v>1.6653713778172534E-2</c:v>
                </c:pt>
                <c:pt idx="52">
                  <c:v>-4.3682428743037184E-3</c:v>
                </c:pt>
                <c:pt idx="53">
                  <c:v>-2.4240429965997675E-2</c:v>
                </c:pt>
                <c:pt idx="54">
                  <c:v>1.292715827338136E-2</c:v>
                </c:pt>
                <c:pt idx="55">
                  <c:v>-4.2170680279657695E-3</c:v>
                </c:pt>
                <c:pt idx="56">
                  <c:v>-4.034325197815674E-2</c:v>
                </c:pt>
                <c:pt idx="57">
                  <c:v>-1.6142143769597033E-2</c:v>
                </c:pt>
                <c:pt idx="58">
                  <c:v>5.9017941454202081E-3</c:v>
                </c:pt>
                <c:pt idx="59">
                  <c:v>9.3874677305794759E-4</c:v>
                </c:pt>
                <c:pt idx="60">
                  <c:v>-2.9308323563892145E-3</c:v>
                </c:pt>
                <c:pt idx="61">
                  <c:v>1.0817166372721948E-2</c:v>
                </c:pt>
                <c:pt idx="62">
                  <c:v>-7.5607770152379397E-3</c:v>
                </c:pt>
                <c:pt idx="63">
                  <c:v>-2.8129395218002715E-2</c:v>
                </c:pt>
                <c:pt idx="64">
                  <c:v>9.6478533526290055E-3</c:v>
                </c:pt>
                <c:pt idx="65">
                  <c:v>1.0630673674151943E-2</c:v>
                </c:pt>
                <c:pt idx="66">
                  <c:v>-1.2291691289445766E-2</c:v>
                </c:pt>
                <c:pt idx="67">
                  <c:v>-7.6582505683856217E-3</c:v>
                </c:pt>
                <c:pt idx="68">
                  <c:v>-1.7846376462076496E-2</c:v>
                </c:pt>
                <c:pt idx="69">
                  <c:v>1.043585021485567E-2</c:v>
                </c:pt>
                <c:pt idx="70">
                  <c:v>-4.6172539489671384E-3</c:v>
                </c:pt>
                <c:pt idx="71">
                  <c:v>-1.4038085937500069E-2</c:v>
                </c:pt>
                <c:pt idx="72">
                  <c:v>2.4761668936498988E-4</c:v>
                </c:pt>
                <c:pt idx="73">
                  <c:v>-3.7999752444609569E-2</c:v>
                </c:pt>
                <c:pt idx="74">
                  <c:v>-1.5954709212557833E-2</c:v>
                </c:pt>
                <c:pt idx="75">
                  <c:v>-4.3148535564853331E-3</c:v>
                </c:pt>
                <c:pt idx="76">
                  <c:v>7.0912672357188707E-3</c:v>
                </c:pt>
                <c:pt idx="77">
                  <c:v>-1.9689659668796336E-2</c:v>
                </c:pt>
                <c:pt idx="78">
                  <c:v>-1.9553072625698498E-2</c:v>
                </c:pt>
                <c:pt idx="79">
                  <c:v>-2.5912359245692535E-2</c:v>
                </c:pt>
                <c:pt idx="80">
                  <c:v>9.8885793871867408E-3</c:v>
                </c:pt>
                <c:pt idx="81">
                  <c:v>5.1027444490413781E-3</c:v>
                </c:pt>
                <c:pt idx="82">
                  <c:v>-5.7628979143798265E-3</c:v>
                </c:pt>
                <c:pt idx="83">
                  <c:v>1.062655258073434E-2</c:v>
                </c:pt>
                <c:pt idx="84">
                  <c:v>5.6670763348354379E-2</c:v>
                </c:pt>
                <c:pt idx="85">
                  <c:v>2.6751098475058251E-2</c:v>
                </c:pt>
                <c:pt idx="86">
                  <c:v>7.7784770295783415E-2</c:v>
                </c:pt>
                <c:pt idx="87">
                  <c:v>1.0393553661100089E-2</c:v>
                </c:pt>
                <c:pt idx="88">
                  <c:v>-6.2066574202496422E-2</c:v>
                </c:pt>
                <c:pt idx="89">
                  <c:v>5.7670979667282712E-2</c:v>
                </c:pt>
                <c:pt idx="90">
                  <c:v>2.7263194687172358E-2</c:v>
                </c:pt>
                <c:pt idx="91">
                  <c:v>-3.0168991720539828E-2</c:v>
                </c:pt>
                <c:pt idx="92">
                  <c:v>-8.069231668810805E-3</c:v>
                </c:pt>
                <c:pt idx="93">
                  <c:v>-6.5904267861353338E-2</c:v>
                </c:pt>
                <c:pt idx="94">
                  <c:v>1.173797803862164E-2</c:v>
                </c:pt>
                <c:pt idx="95">
                  <c:v>-2.2579840319361305E-2</c:v>
                </c:pt>
                <c:pt idx="96">
                  <c:v>-2.2973835354179019E-3</c:v>
                </c:pt>
                <c:pt idx="97">
                  <c:v>-1.9444799795317845E-2</c:v>
                </c:pt>
                <c:pt idx="98">
                  <c:v>-4.5662100456622112E-3</c:v>
                </c:pt>
                <c:pt idx="99">
                  <c:v>-1.9921363040629043E-2</c:v>
                </c:pt>
                <c:pt idx="100">
                  <c:v>4.1187483284300594E-2</c:v>
                </c:pt>
                <c:pt idx="101">
                  <c:v>2.0549704597996332E-2</c:v>
                </c:pt>
                <c:pt idx="102">
                  <c:v>1.1326453561540471E-2</c:v>
                </c:pt>
                <c:pt idx="103">
                  <c:v>8.8352414136385476E-3</c:v>
                </c:pt>
                <c:pt idx="104">
                  <c:v>9.8680152954238494E-3</c:v>
                </c:pt>
                <c:pt idx="105">
                  <c:v>5.7652375717601061E-2</c:v>
                </c:pt>
                <c:pt idx="106">
                  <c:v>-6.5827462755515343E-3</c:v>
                </c:pt>
                <c:pt idx="107">
                  <c:v>-5.2080911415949664E-2</c:v>
                </c:pt>
                <c:pt idx="108">
                  <c:v>2.0358106450821638E-2</c:v>
                </c:pt>
                <c:pt idx="109">
                  <c:v>-5.3846153846153891E-2</c:v>
                </c:pt>
                <c:pt idx="110">
                  <c:v>-1.8419715447154508E-2</c:v>
                </c:pt>
                <c:pt idx="111">
                  <c:v>5.0731202277727476E-2</c:v>
                </c:pt>
                <c:pt idx="112">
                  <c:v>-2.6604261608572443E-2</c:v>
                </c:pt>
                <c:pt idx="113">
                  <c:v>-1.6449449576110303E-2</c:v>
                </c:pt>
                <c:pt idx="114">
                  <c:v>-1.0806638363566235E-2</c:v>
                </c:pt>
                <c:pt idx="115">
                  <c:v>-1.3395760176876071E-2</c:v>
                </c:pt>
                <c:pt idx="116">
                  <c:v>-3.8623780648563047E-2</c:v>
                </c:pt>
                <c:pt idx="117">
                  <c:v>2.344714109419983E-2</c:v>
                </c:pt>
                <c:pt idx="118">
                  <c:v>-4.5551982851018673E-3</c:v>
                </c:pt>
                <c:pt idx="119">
                  <c:v>-5.3835800807535868E-3</c:v>
                </c:pt>
                <c:pt idx="120">
                  <c:v>2.9769959404600654E-3</c:v>
                </c:pt>
                <c:pt idx="121">
                  <c:v>5.9767943874797523E-2</c:v>
                </c:pt>
                <c:pt idx="122">
                  <c:v>-3.0299172501591285E-2</c:v>
                </c:pt>
                <c:pt idx="123">
                  <c:v>2.9014047525272334E-2</c:v>
                </c:pt>
                <c:pt idx="124">
                  <c:v>2.2965042102577334E-2</c:v>
                </c:pt>
                <c:pt idx="125">
                  <c:v>-1.1100024943876284E-2</c:v>
                </c:pt>
                <c:pt idx="126">
                  <c:v>-6.9365619876404503E-3</c:v>
                </c:pt>
                <c:pt idx="127">
                  <c:v>3.3020066040132731E-3</c:v>
                </c:pt>
                <c:pt idx="128">
                  <c:v>-2.7848101265822642E-3</c:v>
                </c:pt>
                <c:pt idx="129">
                  <c:v>5.407463823305414E-2</c:v>
                </c:pt>
                <c:pt idx="130">
                  <c:v>-1.6979768786127298E-2</c:v>
                </c:pt>
                <c:pt idx="131">
                  <c:v>1.2372902119318942E-2</c:v>
                </c:pt>
                <c:pt idx="132">
                  <c:v>-1.7303969022265331E-2</c:v>
                </c:pt>
                <c:pt idx="133">
                  <c:v>-1.5638468168944663E-2</c:v>
                </c:pt>
                <c:pt idx="134">
                  <c:v>-2.5018764073049814E-4</c:v>
                </c:pt>
                <c:pt idx="135">
                  <c:v>2.8778778778779275E-3</c:v>
                </c:pt>
                <c:pt idx="136">
                  <c:v>-4.7411104179664338E-3</c:v>
                </c:pt>
                <c:pt idx="137">
                  <c:v>-7.0201830262003545E-3</c:v>
                </c:pt>
                <c:pt idx="138">
                  <c:v>3.4591591970710885E-2</c:v>
                </c:pt>
                <c:pt idx="139">
                  <c:v>1.549725442342887E-2</c:v>
                </c:pt>
                <c:pt idx="140">
                  <c:v>-1.7664023071377058E-2</c:v>
                </c:pt>
                <c:pt idx="141">
                  <c:v>1.847094801223248E-2</c:v>
                </c:pt>
                <c:pt idx="142">
                  <c:v>-1.4412683161182385E-3</c:v>
                </c:pt>
                <c:pt idx="143">
                  <c:v>-2.0327159008900621E-2</c:v>
                </c:pt>
                <c:pt idx="144">
                  <c:v>7.857581338244329E-3</c:v>
                </c:pt>
                <c:pt idx="145">
                  <c:v>-2.2779875746132348E-2</c:v>
                </c:pt>
                <c:pt idx="146">
                  <c:v>-3.7397157816007403E-4</c:v>
                </c:pt>
                <c:pt idx="147">
                  <c:v>6.1104875919691867E-3</c:v>
                </c:pt>
                <c:pt idx="148">
                  <c:v>-8.0565195835399801E-3</c:v>
                </c:pt>
                <c:pt idx="149">
                  <c:v>1.5994002249156581E-2</c:v>
                </c:pt>
                <c:pt idx="150">
                  <c:v>-1.9923748616406403E-2</c:v>
                </c:pt>
                <c:pt idx="151">
                  <c:v>5.144936629439034E-3</c:v>
                </c:pt>
                <c:pt idx="152">
                  <c:v>-7.8651685393257859E-3</c:v>
                </c:pt>
                <c:pt idx="153">
                  <c:v>1.1325028312570854E-2</c:v>
                </c:pt>
                <c:pt idx="154">
                  <c:v>-7.3410476545975288E-3</c:v>
                </c:pt>
                <c:pt idx="155">
                  <c:v>2.1057909250438614E-2</c:v>
                </c:pt>
                <c:pt idx="156">
                  <c:v>1.5835993125460426E-2</c:v>
                </c:pt>
                <c:pt idx="157">
                  <c:v>3.8549848942598157E-2</c:v>
                </c:pt>
                <c:pt idx="158">
                  <c:v>1.1403304631138049E-2</c:v>
                </c:pt>
                <c:pt idx="159">
                  <c:v>1.6566958122411386E-2</c:v>
                </c:pt>
                <c:pt idx="160">
                  <c:v>2.161611588954274E-2</c:v>
                </c:pt>
                <c:pt idx="161">
                  <c:v>5.0182784978398155E-2</c:v>
                </c:pt>
                <c:pt idx="162">
                  <c:v>5.4852320675105063E-3</c:v>
                </c:pt>
                <c:pt idx="163">
                  <c:v>3.1892572387746607E-2</c:v>
                </c:pt>
                <c:pt idx="164">
                  <c:v>-3.8226921512810139E-2</c:v>
                </c:pt>
                <c:pt idx="165">
                  <c:v>2.4418604651162815E-2</c:v>
                </c:pt>
                <c:pt idx="166">
                  <c:v>-1.4755959137343852E-2</c:v>
                </c:pt>
                <c:pt idx="167">
                  <c:v>1.9480519480519473E-2</c:v>
                </c:pt>
                <c:pt idx="168">
                  <c:v>-1.561536881035556E-2</c:v>
                </c:pt>
                <c:pt idx="169">
                  <c:v>5.5312043414736086E-3</c:v>
                </c:pt>
                <c:pt idx="170">
                  <c:v>6.2272963155164352E-3</c:v>
                </c:pt>
                <c:pt idx="171">
                  <c:v>3.3212996389891683E-2</c:v>
                </c:pt>
                <c:pt idx="172">
                  <c:v>-1.5373864430468266E-2</c:v>
                </c:pt>
                <c:pt idx="173">
                  <c:v>9.9361249112846391E-3</c:v>
                </c:pt>
                <c:pt idx="174">
                  <c:v>-1.4054813773717555E-2</c:v>
                </c:pt>
                <c:pt idx="175">
                  <c:v>-3.6859790245392432E-2</c:v>
                </c:pt>
                <c:pt idx="176">
                  <c:v>-1.5963632519293849E-2</c:v>
                </c:pt>
                <c:pt idx="177">
                  <c:v>3.0189084658358425E-2</c:v>
                </c:pt>
                <c:pt idx="178">
                  <c:v>2.6071540306601315E-3</c:v>
                </c:pt>
                <c:pt idx="179">
                  <c:v>-6.3449136675681238E-3</c:v>
                </c:pt>
                <c:pt idx="180">
                  <c:v>5.1292787605987109E-3</c:v>
                </c:pt>
                <c:pt idx="181">
                  <c:v>-5.832118308685714E-3</c:v>
                </c:pt>
                <c:pt idx="182">
                  <c:v>3.1217263775403355E-2</c:v>
                </c:pt>
                <c:pt idx="183">
                  <c:v>3.1084924827305998E-2</c:v>
                </c:pt>
                <c:pt idx="184">
                  <c:v>6.9950738916255539E-3</c:v>
                </c:pt>
                <c:pt idx="185">
                  <c:v>-2.6416201937188032E-2</c:v>
                </c:pt>
                <c:pt idx="186">
                  <c:v>1.6179278464475925E-2</c:v>
                </c:pt>
                <c:pt idx="187">
                  <c:v>-7.6147151898735181E-3</c:v>
                </c:pt>
                <c:pt idx="188">
                  <c:v>-1.2954658694568981E-2</c:v>
                </c:pt>
                <c:pt idx="189">
                  <c:v>-2.1504290762241248E-2</c:v>
                </c:pt>
                <c:pt idx="190">
                  <c:v>-1.330994634750316E-2</c:v>
                </c:pt>
                <c:pt idx="191">
                  <c:v>-2.8965805709505344E-2</c:v>
                </c:pt>
                <c:pt idx="192">
                  <c:v>-2.0460908895110676E-3</c:v>
                </c:pt>
                <c:pt idx="193">
                  <c:v>4.4243012841264336E-3</c:v>
                </c:pt>
                <c:pt idx="194">
                  <c:v>1.5792866351525558E-2</c:v>
                </c:pt>
                <c:pt idx="195">
                  <c:v>-1.5864621893178214E-2</c:v>
                </c:pt>
                <c:pt idx="196">
                  <c:v>-9.9946265448682715E-3</c:v>
                </c:pt>
                <c:pt idx="197">
                  <c:v>-3.2457663916630582E-2</c:v>
                </c:pt>
                <c:pt idx="198">
                  <c:v>1.660495904858077E-2</c:v>
                </c:pt>
                <c:pt idx="199">
                  <c:v>-7.0632380531950182E-3</c:v>
                </c:pt>
                <c:pt idx="200">
                  <c:v>2.0784706013115533E-2</c:v>
                </c:pt>
                <c:pt idx="201">
                  <c:v>2.3301393728223003E-2</c:v>
                </c:pt>
                <c:pt idx="202">
                  <c:v>7.0227708022983244E-3</c:v>
                </c:pt>
                <c:pt idx="203">
                  <c:v>-1.5849535080304912E-3</c:v>
                </c:pt>
                <c:pt idx="204">
                  <c:v>6.8790348184993725E-3</c:v>
                </c:pt>
                <c:pt idx="205">
                  <c:v>-1.051082615094084E-4</c:v>
                </c:pt>
                <c:pt idx="206">
                  <c:v>2.1023862083464732E-2</c:v>
                </c:pt>
                <c:pt idx="207">
                  <c:v>1.4413672397817418E-3</c:v>
                </c:pt>
                <c:pt idx="208">
                  <c:v>-1.130872828210131E-2</c:v>
                </c:pt>
                <c:pt idx="209">
                  <c:v>-6.1349693251534099E-3</c:v>
                </c:pt>
                <c:pt idx="210">
                  <c:v>6.0682151077631127E-3</c:v>
                </c:pt>
                <c:pt idx="211">
                  <c:v>1.1647254575707202E-2</c:v>
                </c:pt>
                <c:pt idx="212">
                  <c:v>2.0559210526316083E-3</c:v>
                </c:pt>
                <c:pt idx="213">
                  <c:v>2.7697989331144442E-3</c:v>
                </c:pt>
                <c:pt idx="214">
                  <c:v>-1.6572890025575493E-2</c:v>
                </c:pt>
                <c:pt idx="215">
                  <c:v>2.4862165817122653E-2</c:v>
                </c:pt>
                <c:pt idx="216">
                  <c:v>4.0600893219651414E-3</c:v>
                </c:pt>
                <c:pt idx="217">
                  <c:v>4.6502224019408988E-3</c:v>
                </c:pt>
                <c:pt idx="218">
                  <c:v>-2.0426645200241511E-2</c:v>
                </c:pt>
                <c:pt idx="219">
                  <c:v>9.4504365690806554E-3</c:v>
                </c:pt>
                <c:pt idx="220">
                  <c:v>-1.913096570672632E-2</c:v>
                </c:pt>
                <c:pt idx="221">
                  <c:v>1.0374520178441747E-2</c:v>
                </c:pt>
                <c:pt idx="222">
                  <c:v>7.5983160488756023E-3</c:v>
                </c:pt>
                <c:pt idx="223">
                  <c:v>9.3753184551105852E-3</c:v>
                </c:pt>
                <c:pt idx="224">
                  <c:v>-3.0287733467946633E-4</c:v>
                </c:pt>
                <c:pt idx="225">
                  <c:v>-6.8672995354473101E-3</c:v>
                </c:pt>
                <c:pt idx="226">
                  <c:v>-9.660362009355326E-3</c:v>
                </c:pt>
                <c:pt idx="227">
                  <c:v>-4.1482698428996878E-2</c:v>
                </c:pt>
                <c:pt idx="228">
                  <c:v>-1.2961971076593399E-2</c:v>
                </c:pt>
                <c:pt idx="229">
                  <c:v>1.8992836987193402E-2</c:v>
                </c:pt>
                <c:pt idx="230">
                  <c:v>1.5976142294174638E-3</c:v>
                </c:pt>
                <c:pt idx="231">
                  <c:v>-2.3075287111867307E-2</c:v>
                </c:pt>
                <c:pt idx="232">
                  <c:v>-2.1007946010667321E-2</c:v>
                </c:pt>
                <c:pt idx="233">
                  <c:v>7.1158550144540872E-3</c:v>
                </c:pt>
                <c:pt idx="234">
                  <c:v>3.3119894016338833E-3</c:v>
                </c:pt>
                <c:pt idx="235">
                  <c:v>2.5858274647887418E-2</c:v>
                </c:pt>
                <c:pt idx="236">
                  <c:v>-2.0916014158532691E-2</c:v>
                </c:pt>
                <c:pt idx="237">
                  <c:v>-1.3694127957931639E-2</c:v>
                </c:pt>
                <c:pt idx="238">
                  <c:v>2.6768854826169017E-2</c:v>
                </c:pt>
                <c:pt idx="239">
                  <c:v>-2.9208135006490265E-3</c:v>
                </c:pt>
                <c:pt idx="240">
                  <c:v>4.9907779103829202E-3</c:v>
                </c:pt>
                <c:pt idx="241">
                  <c:v>1.7273021699233601E-2</c:v>
                </c:pt>
                <c:pt idx="242">
                  <c:v>-1.167356468216061E-3</c:v>
                </c:pt>
                <c:pt idx="243">
                  <c:v>1.9868253293667554E-2</c:v>
                </c:pt>
                <c:pt idx="244">
                  <c:v>-2.0835503698297763E-4</c:v>
                </c:pt>
                <c:pt idx="245">
                  <c:v>5.9393560487653162E-3</c:v>
                </c:pt>
                <c:pt idx="246">
                  <c:v>1.7609281126992696E-3</c:v>
                </c:pt>
                <c:pt idx="247">
                  <c:v>1.6544307724123759E-2</c:v>
                </c:pt>
                <c:pt idx="248">
                  <c:v>4.7299359169972445E-2</c:v>
                </c:pt>
                <c:pt idx="249">
                  <c:v>-1.1752136752136691E-2</c:v>
                </c:pt>
                <c:pt idx="250">
                  <c:v>2.8894348894348873E-2</c:v>
                </c:pt>
                <c:pt idx="251">
                  <c:v>1.1557932944884974E-2</c:v>
                </c:pt>
                <c:pt idx="252">
                  <c:v>2.6440037771482502E-2</c:v>
                </c:pt>
                <c:pt idx="253">
                  <c:v>3.1462741490340403E-2</c:v>
                </c:pt>
                <c:pt idx="254">
                  <c:v>-5.2622190510167978E-3</c:v>
                </c:pt>
                <c:pt idx="255">
                  <c:v>-5.003138169102482E-2</c:v>
                </c:pt>
                <c:pt idx="256">
                  <c:v>-2.2935346861727293E-2</c:v>
                </c:pt>
                <c:pt idx="257">
                  <c:v>-1.371715610510048E-2</c:v>
                </c:pt>
                <c:pt idx="258">
                  <c:v>2.7130264446621061E-2</c:v>
                </c:pt>
                <c:pt idx="259">
                  <c:v>-2.2504052636597684E-2</c:v>
                </c:pt>
                <c:pt idx="260">
                  <c:v>-8.2918739635158365E-3</c:v>
                </c:pt>
                <c:pt idx="261">
                  <c:v>2.6264017312610681E-2</c:v>
                </c:pt>
                <c:pt idx="262">
                  <c:v>-1.361065848749163E-2</c:v>
                </c:pt>
                <c:pt idx="263">
                  <c:v>-1.0203090078709525E-2</c:v>
                </c:pt>
                <c:pt idx="264">
                  <c:v>1.7278617710583203E-2</c:v>
                </c:pt>
                <c:pt idx="265">
                  <c:v>2.5091681142636501E-2</c:v>
                </c:pt>
                <c:pt idx="266">
                  <c:v>4.1423460741856315E-3</c:v>
                </c:pt>
                <c:pt idx="267">
                  <c:v>-2.9626851678229857E-2</c:v>
                </c:pt>
                <c:pt idx="268">
                  <c:v>-2.0966183574879244E-2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D-D04E-8FB3-69D1D382B627}"/>
            </c:ext>
          </c:extLst>
        </c:ser>
        <c:ser>
          <c:idx val="1"/>
          <c:order val="1"/>
          <c:tx>
            <c:strRef>
              <c:f>'3.8.2 Exchange Risk - EUR'!$F$1</c:f>
              <c:strCache>
                <c:ptCount val="1"/>
                <c:pt idx="0">
                  <c:v>Inflation Rate Differential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'3.8.2 Exchange Risk - EUR'!$A$2:$A$270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'3.8.2 Exchange Risk - EUR'!$F$2:$F$270</c:f>
              <c:numCache>
                <c:formatCode>0.000</c:formatCode>
                <c:ptCount val="269"/>
                <c:pt idx="0">
                  <c:v>1.5409499999999986E-3</c:v>
                </c:pt>
                <c:pt idx="1">
                  <c:v>1.477240000000002E-4</c:v>
                </c:pt>
                <c:pt idx="2">
                  <c:v>3.3092379999999986E-3</c:v>
                </c:pt>
                <c:pt idx="3">
                  <c:v>2.4592769999999997E-3</c:v>
                </c:pt>
                <c:pt idx="4">
                  <c:v>6.4071310000000017E-3</c:v>
                </c:pt>
                <c:pt idx="5">
                  <c:v>5.9015230000000023E-3</c:v>
                </c:pt>
                <c:pt idx="6">
                  <c:v>4.3118429999999992E-3</c:v>
                </c:pt>
                <c:pt idx="7">
                  <c:v>3.476097E-3</c:v>
                </c:pt>
                <c:pt idx="8">
                  <c:v>1.573789999999997E-4</c:v>
                </c:pt>
                <c:pt idx="9">
                  <c:v>1.694909999999994E-4</c:v>
                </c:pt>
                <c:pt idx="10">
                  <c:v>4.4023699999999887E-4</c:v>
                </c:pt>
                <c:pt idx="11">
                  <c:v>-2.8272699999999993E-3</c:v>
                </c:pt>
                <c:pt idx="12">
                  <c:v>-5.1908740000000007E-3</c:v>
                </c:pt>
                <c:pt idx="13">
                  <c:v>-2.8948930000000008E-3</c:v>
                </c:pt>
                <c:pt idx="14">
                  <c:v>-5.9580350000000013E-3</c:v>
                </c:pt>
                <c:pt idx="15">
                  <c:v>-7.7001320000000019E-3</c:v>
                </c:pt>
                <c:pt idx="16">
                  <c:v>-1.0002493000000001E-2</c:v>
                </c:pt>
                <c:pt idx="17">
                  <c:v>-4.8713180000000021E-3</c:v>
                </c:pt>
                <c:pt idx="18">
                  <c:v>-7.8568620000000026E-3</c:v>
                </c:pt>
                <c:pt idx="19">
                  <c:v>-6.6228389999999984E-3</c:v>
                </c:pt>
                <c:pt idx="20">
                  <c:v>-1.8104049999999993E-3</c:v>
                </c:pt>
                <c:pt idx="21">
                  <c:v>-6.7294899999999821E-4</c:v>
                </c:pt>
                <c:pt idx="22">
                  <c:v>3.6487000000000601E-5</c:v>
                </c:pt>
                <c:pt idx="23">
                  <c:v>-2.5291010000000023E-3</c:v>
                </c:pt>
                <c:pt idx="24">
                  <c:v>-2.9356810000000012E-3</c:v>
                </c:pt>
                <c:pt idx="25">
                  <c:v>-3.8269430000000006E-3</c:v>
                </c:pt>
                <c:pt idx="26">
                  <c:v>-6.8878299999999945E-4</c:v>
                </c:pt>
                <c:pt idx="27">
                  <c:v>1.0462010000000022E-3</c:v>
                </c:pt>
                <c:pt idx="28">
                  <c:v>-1.6833920000000014E-3</c:v>
                </c:pt>
                <c:pt idx="29">
                  <c:v>-2.8516260000000003E-3</c:v>
                </c:pt>
                <c:pt idx="30">
                  <c:v>-3.4324899999999881E-4</c:v>
                </c:pt>
                <c:pt idx="31">
                  <c:v>-1.2573459999999992E-3</c:v>
                </c:pt>
                <c:pt idx="32">
                  <c:v>-3.5847660000000014E-3</c:v>
                </c:pt>
                <c:pt idx="33">
                  <c:v>-5.5398250000000008E-3</c:v>
                </c:pt>
                <c:pt idx="34">
                  <c:v>-8.9856789999999982E-3</c:v>
                </c:pt>
                <c:pt idx="35">
                  <c:v>-6.6661800000000016E-3</c:v>
                </c:pt>
                <c:pt idx="36">
                  <c:v>-2.5068080000000006E-3</c:v>
                </c:pt>
                <c:pt idx="37">
                  <c:v>-3.9843919999999989E-3</c:v>
                </c:pt>
                <c:pt idx="38">
                  <c:v>-9.7591400000000047E-3</c:v>
                </c:pt>
                <c:pt idx="39">
                  <c:v>-1.4455358E-2</c:v>
                </c:pt>
                <c:pt idx="40">
                  <c:v>-1.1060510000000003E-2</c:v>
                </c:pt>
                <c:pt idx="41">
                  <c:v>-9.9167250000000012E-3</c:v>
                </c:pt>
                <c:pt idx="42">
                  <c:v>-1.1131067999999999E-2</c:v>
                </c:pt>
                <c:pt idx="43">
                  <c:v>-1.1104188000000001E-2</c:v>
                </c:pt>
                <c:pt idx="44">
                  <c:v>-1.3874962999999997E-2</c:v>
                </c:pt>
                <c:pt idx="45">
                  <c:v>-1.1750588000000001E-2</c:v>
                </c:pt>
                <c:pt idx="46">
                  <c:v>-7.4503700000000013E-3</c:v>
                </c:pt>
                <c:pt idx="47">
                  <c:v>-1.0953075E-2</c:v>
                </c:pt>
                <c:pt idx="48">
                  <c:v>-1.6596483999999998E-2</c:v>
                </c:pt>
                <c:pt idx="49">
                  <c:v>-2.4978316000000004E-2</c:v>
                </c:pt>
                <c:pt idx="50">
                  <c:v>-2.2117919999999999E-2</c:v>
                </c:pt>
                <c:pt idx="51">
                  <c:v>-1.3104340999999997E-2</c:v>
                </c:pt>
                <c:pt idx="52">
                  <c:v>-1.3505352E-2</c:v>
                </c:pt>
                <c:pt idx="53">
                  <c:v>-1.8102959999999998E-2</c:v>
                </c:pt>
                <c:pt idx="54">
                  <c:v>-1.4379273999999999E-2</c:v>
                </c:pt>
                <c:pt idx="55">
                  <c:v>-1.5017444999999997E-2</c:v>
                </c:pt>
                <c:pt idx="56">
                  <c:v>-1.3836416999999997E-2</c:v>
                </c:pt>
                <c:pt idx="57">
                  <c:v>-1.5630462000000001E-2</c:v>
                </c:pt>
                <c:pt idx="58">
                  <c:v>-1.8664421E-2</c:v>
                </c:pt>
                <c:pt idx="59">
                  <c:v>-1.8664735000000002E-2</c:v>
                </c:pt>
                <c:pt idx="60">
                  <c:v>-1.7997646999999999E-2</c:v>
                </c:pt>
                <c:pt idx="61">
                  <c:v>-3.4409889999999989E-3</c:v>
                </c:pt>
                <c:pt idx="62">
                  <c:v>1.1846559999999994E-3</c:v>
                </c:pt>
                <c:pt idx="63">
                  <c:v>-2.2292010000000005E-3</c:v>
                </c:pt>
                <c:pt idx="64">
                  <c:v>-6.3819609999999985E-3</c:v>
                </c:pt>
                <c:pt idx="65">
                  <c:v>-1.2478219999999985E-3</c:v>
                </c:pt>
                <c:pt idx="66">
                  <c:v>-5.6377089999999994E-3</c:v>
                </c:pt>
                <c:pt idx="67">
                  <c:v>-7.9568309999999975E-3</c:v>
                </c:pt>
                <c:pt idx="68">
                  <c:v>-6.5834369999999984E-3</c:v>
                </c:pt>
                <c:pt idx="69">
                  <c:v>-8.482927999999999E-3</c:v>
                </c:pt>
                <c:pt idx="70">
                  <c:v>-7.5532149999999977E-3</c:v>
                </c:pt>
                <c:pt idx="71">
                  <c:v>-3.600559999999997E-3</c:v>
                </c:pt>
                <c:pt idx="72">
                  <c:v>-4.1445100000000014E-4</c:v>
                </c:pt>
                <c:pt idx="73">
                  <c:v>-5.9832790000000011E-3</c:v>
                </c:pt>
                <c:pt idx="74">
                  <c:v>-9.6030309999999997E-3</c:v>
                </c:pt>
                <c:pt idx="75">
                  <c:v>-1.2359158000000004E-2</c:v>
                </c:pt>
                <c:pt idx="76">
                  <c:v>-9.9285369999999942E-3</c:v>
                </c:pt>
                <c:pt idx="77">
                  <c:v>-1.0870629000000003E-2</c:v>
                </c:pt>
                <c:pt idx="78">
                  <c:v>-8.9895349999999982E-3</c:v>
                </c:pt>
                <c:pt idx="79">
                  <c:v>-5.3148539999999973E-3</c:v>
                </c:pt>
                <c:pt idx="80">
                  <c:v>-6.6182430000000011E-3</c:v>
                </c:pt>
                <c:pt idx="81">
                  <c:v>-4.9077100000000009E-3</c:v>
                </c:pt>
                <c:pt idx="82">
                  <c:v>-1.0180944999999997E-2</c:v>
                </c:pt>
                <c:pt idx="83">
                  <c:v>-1.5045078000000003E-2</c:v>
                </c:pt>
                <c:pt idx="84">
                  <c:v>-1.5094969999999996E-2</c:v>
                </c:pt>
                <c:pt idx="85">
                  <c:v>-1.3237404999999995E-2</c:v>
                </c:pt>
                <c:pt idx="86">
                  <c:v>-5.8388770000000001E-3</c:v>
                </c:pt>
                <c:pt idx="87">
                  <c:v>1.0375190999999999E-2</c:v>
                </c:pt>
                <c:pt idx="88">
                  <c:v>1.5855867000000003E-2</c:v>
                </c:pt>
                <c:pt idx="89">
                  <c:v>1.3285510699999998E-2</c:v>
                </c:pt>
                <c:pt idx="90">
                  <c:v>1.128788557E-2</c:v>
                </c:pt>
                <c:pt idx="91">
                  <c:v>1.0555782E-2</c:v>
                </c:pt>
                <c:pt idx="92">
                  <c:v>1.0340369E-2</c:v>
                </c:pt>
                <c:pt idx="93">
                  <c:v>1.0491992800000001E-2</c:v>
                </c:pt>
                <c:pt idx="94">
                  <c:v>9.9889808999999996E-3</c:v>
                </c:pt>
                <c:pt idx="95">
                  <c:v>1.2698585000000002E-2</c:v>
                </c:pt>
                <c:pt idx="96">
                  <c:v>1.18242587E-2</c:v>
                </c:pt>
                <c:pt idx="97">
                  <c:v>8.2986916000000015E-3</c:v>
                </c:pt>
                <c:pt idx="98">
                  <c:v>-1.3094424999999998E-3</c:v>
                </c:pt>
                <c:pt idx="99">
                  <c:v>-1.7515433E-2</c:v>
                </c:pt>
                <c:pt idx="100">
                  <c:v>-2.1956503000000002E-2</c:v>
                </c:pt>
                <c:pt idx="101">
                  <c:v>-1.85172316E-2</c:v>
                </c:pt>
                <c:pt idx="102">
                  <c:v>-1.4486884000000002E-2</c:v>
                </c:pt>
                <c:pt idx="103">
                  <c:v>-1.1562354000000002E-2</c:v>
                </c:pt>
                <c:pt idx="104">
                  <c:v>-8.2599009999999983E-3</c:v>
                </c:pt>
                <c:pt idx="105">
                  <c:v>-5.8955580000000004E-3</c:v>
                </c:pt>
                <c:pt idx="106">
                  <c:v>9.2456300000000042E-4</c:v>
                </c:pt>
                <c:pt idx="107">
                  <c:v>1.5042070000000018E-3</c:v>
                </c:pt>
                <c:pt idx="108">
                  <c:v>1.7879949999999999E-3</c:v>
                </c:pt>
                <c:pt idx="109">
                  <c:v>4.5536200000000004E-3</c:v>
                </c:pt>
                <c:pt idx="110">
                  <c:v>5.0546390000000005E-3</c:v>
                </c:pt>
                <c:pt idx="111">
                  <c:v>5.6894759999999997E-3</c:v>
                </c:pt>
                <c:pt idx="112">
                  <c:v>5.227462999999999E-3</c:v>
                </c:pt>
                <c:pt idx="113">
                  <c:v>4.0764040000000005E-3</c:v>
                </c:pt>
                <c:pt idx="114">
                  <c:v>1.7008210000000012E-3</c:v>
                </c:pt>
                <c:pt idx="115">
                  <c:v>-1.6976570000000013E-3</c:v>
                </c:pt>
                <c:pt idx="116">
                  <c:v>-5.0128860000000011E-3</c:v>
                </c:pt>
                <c:pt idx="117">
                  <c:v>-9.1807909999999989E-3</c:v>
                </c:pt>
                <c:pt idx="118">
                  <c:v>-9.9025299999999997E-3</c:v>
                </c:pt>
                <c:pt idx="119">
                  <c:v>-9.6195959999999976E-3</c:v>
                </c:pt>
                <c:pt idx="120">
                  <c:v>-1.1186393999999997E-2</c:v>
                </c:pt>
                <c:pt idx="121">
                  <c:v>-1.0311313000000003E-2</c:v>
                </c:pt>
                <c:pt idx="122">
                  <c:v>-7.1272529999999975E-3</c:v>
                </c:pt>
                <c:pt idx="123">
                  <c:v>-6.3489439999999987E-3</c:v>
                </c:pt>
                <c:pt idx="124">
                  <c:v>-5.2694650000000018E-3</c:v>
                </c:pt>
                <c:pt idx="125">
                  <c:v>-5.362208000000002E-3</c:v>
                </c:pt>
                <c:pt idx="126">
                  <c:v>-3.615472999999998E-3</c:v>
                </c:pt>
                <c:pt idx="127">
                  <c:v>-1.138347000000004E-3</c:v>
                </c:pt>
                <c:pt idx="128">
                  <c:v>7.4818099999999891E-4</c:v>
                </c:pt>
                <c:pt idx="129">
                  <c:v>4.333949000000001E-3</c:v>
                </c:pt>
                <c:pt idx="130">
                  <c:v>5.2857869999999975E-3</c:v>
                </c:pt>
                <c:pt idx="131">
                  <c:v>7.7506140000000003E-3</c:v>
                </c:pt>
                <c:pt idx="132">
                  <c:v>7.0000969999999985E-3</c:v>
                </c:pt>
                <c:pt idx="133">
                  <c:v>4.8182729999999997E-3</c:v>
                </c:pt>
                <c:pt idx="134">
                  <c:v>1.9287080000000012E-3</c:v>
                </c:pt>
                <c:pt idx="135">
                  <c:v>2.667774000000003E-3</c:v>
                </c:pt>
                <c:pt idx="136">
                  <c:v>3.2276709999999988E-3</c:v>
                </c:pt>
                <c:pt idx="137">
                  <c:v>2.1488820000000008E-3</c:v>
                </c:pt>
                <c:pt idx="138">
                  <c:v>-2.4966629999999988E-3</c:v>
                </c:pt>
                <c:pt idx="139">
                  <c:v>-1.2152500000000011E-4</c:v>
                </c:pt>
                <c:pt idx="140">
                  <c:v>9.5745500000000039E-4</c:v>
                </c:pt>
                <c:pt idx="141">
                  <c:v>8.1915899999999823E-4</c:v>
                </c:pt>
                <c:pt idx="142">
                  <c:v>-8.2511100000000055E-4</c:v>
                </c:pt>
                <c:pt idx="143">
                  <c:v>-2.5348379999999993E-3</c:v>
                </c:pt>
                <c:pt idx="144">
                  <c:v>-1.9783150000000018E-3</c:v>
                </c:pt>
                <c:pt idx="145">
                  <c:v>3.2821999999999016E-5</c:v>
                </c:pt>
                <c:pt idx="146">
                  <c:v>-1.1096919999999998E-3</c:v>
                </c:pt>
                <c:pt idx="147">
                  <c:v>-3.0929400000000006E-3</c:v>
                </c:pt>
                <c:pt idx="148">
                  <c:v>-5.2853639999999999E-3</c:v>
                </c:pt>
                <c:pt idx="149">
                  <c:v>-6.0657950000000006E-3</c:v>
                </c:pt>
                <c:pt idx="150">
                  <c:v>-2.9896936000000009E-3</c:v>
                </c:pt>
                <c:pt idx="151">
                  <c:v>-9.0155720000000012E-3</c:v>
                </c:pt>
                <c:pt idx="152">
                  <c:v>-1.1711834700000001E-2</c:v>
                </c:pt>
                <c:pt idx="153">
                  <c:v>-1.5386811999999998E-2</c:v>
                </c:pt>
                <c:pt idx="154">
                  <c:v>-1.5509724700000003E-2</c:v>
                </c:pt>
                <c:pt idx="155">
                  <c:v>-1.5403791800000002E-2</c:v>
                </c:pt>
                <c:pt idx="156">
                  <c:v>-1.2710674400000002E-2</c:v>
                </c:pt>
                <c:pt idx="157">
                  <c:v>-1.2930125000000001E-2</c:v>
                </c:pt>
                <c:pt idx="158">
                  <c:v>-1.09712306E-2</c:v>
                </c:pt>
                <c:pt idx="159">
                  <c:v>-8.6671196000000002E-3</c:v>
                </c:pt>
                <c:pt idx="160">
                  <c:v>-6.7178081599999998E-3</c:v>
                </c:pt>
                <c:pt idx="161">
                  <c:v>-1.0743539000000002E-3</c:v>
                </c:pt>
                <c:pt idx="162">
                  <c:v>2.5893009999999991E-4</c:v>
                </c:pt>
                <c:pt idx="163">
                  <c:v>1.91564927E-3</c:v>
                </c:pt>
                <c:pt idx="164">
                  <c:v>2.7944075999999994E-3</c:v>
                </c:pt>
                <c:pt idx="165">
                  <c:v>4.2274328400000007E-3</c:v>
                </c:pt>
                <c:pt idx="166">
                  <c:v>2.8176686000000008E-3</c:v>
                </c:pt>
                <c:pt idx="167">
                  <c:v>1.1577497E-3</c:v>
                </c:pt>
                <c:pt idx="168">
                  <c:v>-3.6161970000000017E-4</c:v>
                </c:pt>
                <c:pt idx="169">
                  <c:v>8.0327974999999999E-4</c:v>
                </c:pt>
                <c:pt idx="170">
                  <c:v>8.7652840000000014E-4</c:v>
                </c:pt>
                <c:pt idx="171">
                  <c:v>-7.7029949999999963E-4</c:v>
                </c:pt>
                <c:pt idx="172">
                  <c:v>-1.5730417000000003E-3</c:v>
                </c:pt>
                <c:pt idx="173">
                  <c:v>-8.6870950000000006E-3</c:v>
                </c:pt>
                <c:pt idx="174">
                  <c:v>-8.1942116800000006E-3</c:v>
                </c:pt>
                <c:pt idx="175">
                  <c:v>-8.843371840000001E-3</c:v>
                </c:pt>
                <c:pt idx="176">
                  <c:v>-1.2225424329999998E-2</c:v>
                </c:pt>
                <c:pt idx="177">
                  <c:v>-1.0838741550000001E-2</c:v>
                </c:pt>
                <c:pt idx="178">
                  <c:v>-9.5380797000000003E-3</c:v>
                </c:pt>
                <c:pt idx="179">
                  <c:v>-6.8172922999999996E-3</c:v>
                </c:pt>
                <c:pt idx="180">
                  <c:v>-7.7411089999999995E-3</c:v>
                </c:pt>
                <c:pt idx="181">
                  <c:v>-1.09453764E-2</c:v>
                </c:pt>
                <c:pt idx="182">
                  <c:v>-1.1797966E-2</c:v>
                </c:pt>
                <c:pt idx="183">
                  <c:v>-1.1070524399999998E-2</c:v>
                </c:pt>
                <c:pt idx="184">
                  <c:v>-1.0473406999999999E-2</c:v>
                </c:pt>
                <c:pt idx="185">
                  <c:v>-9.2371600000000012E-3</c:v>
                </c:pt>
                <c:pt idx="186">
                  <c:v>-1.0515463000000001E-2</c:v>
                </c:pt>
                <c:pt idx="187">
                  <c:v>-9.5645439999999995E-3</c:v>
                </c:pt>
                <c:pt idx="188">
                  <c:v>-5.4987710000000004E-3</c:v>
                </c:pt>
                <c:pt idx="189">
                  <c:v>-5.8442889999999999E-3</c:v>
                </c:pt>
                <c:pt idx="190">
                  <c:v>-5.0741499999999995E-3</c:v>
                </c:pt>
                <c:pt idx="191">
                  <c:v>-4.9635459999999984E-3</c:v>
                </c:pt>
                <c:pt idx="192">
                  <c:v>-5.249885000000001E-3</c:v>
                </c:pt>
                <c:pt idx="193">
                  <c:v>-8.3066239999999986E-3</c:v>
                </c:pt>
                <c:pt idx="194">
                  <c:v>-7.3411220000000003E-3</c:v>
                </c:pt>
                <c:pt idx="195">
                  <c:v>-7.5484660000000002E-3</c:v>
                </c:pt>
                <c:pt idx="196">
                  <c:v>-8.6342520000000002E-3</c:v>
                </c:pt>
                <c:pt idx="197">
                  <c:v>-9.5001039999999988E-3</c:v>
                </c:pt>
                <c:pt idx="198">
                  <c:v>-1.1567160999999999E-2</c:v>
                </c:pt>
                <c:pt idx="199">
                  <c:v>-1.0765177000000001E-2</c:v>
                </c:pt>
                <c:pt idx="200">
                  <c:v>-1.2130378000000002E-2</c:v>
                </c:pt>
                <c:pt idx="201">
                  <c:v>-1.0589805000000001E-2</c:v>
                </c:pt>
                <c:pt idx="202">
                  <c:v>-9.9445509999999994E-3</c:v>
                </c:pt>
                <c:pt idx="203">
                  <c:v>-9.5568370000000003E-3</c:v>
                </c:pt>
                <c:pt idx="204">
                  <c:v>-7.2329429999999986E-3</c:v>
                </c:pt>
                <c:pt idx="205">
                  <c:v>-3.0871200000000031E-3</c:v>
                </c:pt>
                <c:pt idx="206">
                  <c:v>-3.6530079999999997E-3</c:v>
                </c:pt>
                <c:pt idx="207">
                  <c:v>-2.7903860000000002E-3</c:v>
                </c:pt>
                <c:pt idx="208">
                  <c:v>-4.8311269999999993E-3</c:v>
                </c:pt>
                <c:pt idx="209">
                  <c:v>-1.9076380000000003E-3</c:v>
                </c:pt>
                <c:pt idx="210">
                  <c:v>-1.0882499999999996E-3</c:v>
                </c:pt>
                <c:pt idx="211">
                  <c:v>-3.6772840000000007E-3</c:v>
                </c:pt>
                <c:pt idx="212">
                  <c:v>-3.7767320000000005E-3</c:v>
                </c:pt>
                <c:pt idx="213">
                  <c:v>-4.6927319999999998E-3</c:v>
                </c:pt>
                <c:pt idx="214">
                  <c:v>-3.8538159999999986E-3</c:v>
                </c:pt>
                <c:pt idx="215">
                  <c:v>-6.6312370000000008E-3</c:v>
                </c:pt>
                <c:pt idx="216">
                  <c:v>-5.899231999999999E-3</c:v>
                </c:pt>
                <c:pt idx="217">
                  <c:v>-7.4390863000000007E-3</c:v>
                </c:pt>
                <c:pt idx="218">
                  <c:v>-8.8698404000000005E-3</c:v>
                </c:pt>
                <c:pt idx="219">
                  <c:v>-1.1642948E-2</c:v>
                </c:pt>
                <c:pt idx="220">
                  <c:v>-9.9347239999999972E-3</c:v>
                </c:pt>
                <c:pt idx="221">
                  <c:v>-1.2154866E-2</c:v>
                </c:pt>
                <c:pt idx="222">
                  <c:v>-1.1087949E-2</c:v>
                </c:pt>
                <c:pt idx="223">
                  <c:v>-6.9333479999999989E-3</c:v>
                </c:pt>
                <c:pt idx="224">
                  <c:v>1.0665319E-3</c:v>
                </c:pt>
                <c:pt idx="225">
                  <c:v>5.4784389999999988E-4</c:v>
                </c:pt>
                <c:pt idx="226">
                  <c:v>-2.9081839000000003E-3</c:v>
                </c:pt>
                <c:pt idx="227">
                  <c:v>-7.0751389999999994E-3</c:v>
                </c:pt>
                <c:pt idx="228">
                  <c:v>-1.2470908599999999E-2</c:v>
                </c:pt>
                <c:pt idx="229">
                  <c:v>-1.4032227939999999E-2</c:v>
                </c:pt>
                <c:pt idx="230">
                  <c:v>-1.1982673900000001E-2</c:v>
                </c:pt>
                <c:pt idx="231">
                  <c:v>-1.1616107799999999E-2</c:v>
                </c:pt>
                <c:pt idx="232">
                  <c:v>-1.3277968712000002E-2</c:v>
                </c:pt>
                <c:pt idx="233">
                  <c:v>-5.868285E-3</c:v>
                </c:pt>
                <c:pt idx="234">
                  <c:v>-8.2765210000000002E-3</c:v>
                </c:pt>
                <c:pt idx="235">
                  <c:v>-1.2754449999999999E-2</c:v>
                </c:pt>
                <c:pt idx="236">
                  <c:v>-2.5141607E-2</c:v>
                </c:pt>
                <c:pt idx="237">
                  <c:v>-2.9900327999999997E-2</c:v>
                </c:pt>
                <c:pt idx="238">
                  <c:v>-3.3432598000000001E-2</c:v>
                </c:pt>
                <c:pt idx="239">
                  <c:v>-2.8596673E-2</c:v>
                </c:pt>
                <c:pt idx="240">
                  <c:v>-2.3682457000000001E-2</c:v>
                </c:pt>
                <c:pt idx="241">
                  <c:v>-2.1470945000000002E-2</c:v>
                </c:pt>
                <c:pt idx="242">
                  <c:v>-2.4031265E-2</c:v>
                </c:pt>
                <c:pt idx="243">
                  <c:v>-2.4823500000000002E-2</c:v>
                </c:pt>
                <c:pt idx="244">
                  <c:v>-2.5293622000000005E-2</c:v>
                </c:pt>
                <c:pt idx="245">
                  <c:v>-2.8521773E-2</c:v>
                </c:pt>
                <c:pt idx="246">
                  <c:v>-2.6425873000000006E-2</c:v>
                </c:pt>
                <c:pt idx="247">
                  <c:v>-1.8175100000000003E-2</c:v>
                </c:pt>
                <c:pt idx="248">
                  <c:v>-1.481973E-2</c:v>
                </c:pt>
                <c:pt idx="249">
                  <c:v>-1.2150680000000004E-2</c:v>
                </c:pt>
                <c:pt idx="250">
                  <c:v>-1.1825885000000005E-2</c:v>
                </c:pt>
                <c:pt idx="251">
                  <c:v>-3.2996300000000113E-3</c:v>
                </c:pt>
                <c:pt idx="252">
                  <c:v>8.6642999999998695E-4</c:v>
                </c:pt>
                <c:pt idx="253">
                  <c:v>7.6507349999999971E-3</c:v>
                </c:pt>
                <c:pt idx="254">
                  <c:v>1.7774830000000002E-2</c:v>
                </c:pt>
                <c:pt idx="255">
                  <c:v>1.8919025000000006E-2</c:v>
                </c:pt>
                <c:pt idx="256">
                  <c:v>2.0812890000000007E-2</c:v>
                </c:pt>
                <c:pt idx="257">
                  <c:v>1.8562666000000005E-2</c:v>
                </c:pt>
                <c:pt idx="258">
                  <c:v>2.1231090000000005E-2</c:v>
                </c:pt>
                <c:pt idx="259">
                  <c:v>1.7104052999999998E-2</c:v>
                </c:pt>
                <c:pt idx="260">
                  <c:v>1.7517326000000003E-2</c:v>
                </c:pt>
                <c:pt idx="261">
                  <c:v>1.8797835000000002E-2</c:v>
                </c:pt>
                <c:pt idx="262">
                  <c:v>2.3565144000000003E-2</c:v>
                </c:pt>
                <c:pt idx="263">
                  <c:v>1.8330182E-2</c:v>
                </c:pt>
                <c:pt idx="264">
                  <c:v>1.3502206999999995E-2</c:v>
                </c:pt>
                <c:pt idx="265">
                  <c:v>6.3167930000000002E-3</c:v>
                </c:pt>
                <c:pt idx="266">
                  <c:v>-1.591271999999999E-3</c:v>
                </c:pt>
                <c:pt idx="267">
                  <c:v>-3.957643000000002E-3</c:v>
                </c:pt>
                <c:pt idx="268">
                  <c:v>-3.9263860000000013E-3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DD-D04E-8FB3-69D1D382B627}"/>
            </c:ext>
          </c:extLst>
        </c:ser>
        <c:ser>
          <c:idx val="2"/>
          <c:order val="2"/>
          <c:tx>
            <c:strRef>
              <c:f>'3.8.2 Exchange Risk - EUR'!$D$1</c:f>
              <c:strCache>
                <c:ptCount val="1"/>
                <c:pt idx="0">
                  <c:v>GDP Growth - 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'3.8.2 Exchange Risk - EUR'!$A$2:$A$270</c:f>
              <c:numCache>
                <c:formatCode>mmm\-yy</c:formatCode>
                <c:ptCount val="269"/>
                <c:pt idx="0">
                  <c:v>37134</c:v>
                </c:pt>
                <c:pt idx="1">
                  <c:v>37164</c:v>
                </c:pt>
                <c:pt idx="2">
                  <c:v>37195</c:v>
                </c:pt>
                <c:pt idx="3">
                  <c:v>37225</c:v>
                </c:pt>
                <c:pt idx="4">
                  <c:v>37256</c:v>
                </c:pt>
                <c:pt idx="5">
                  <c:v>37287</c:v>
                </c:pt>
                <c:pt idx="6">
                  <c:v>37315</c:v>
                </c:pt>
                <c:pt idx="7">
                  <c:v>37346</c:v>
                </c:pt>
                <c:pt idx="8">
                  <c:v>37376</c:v>
                </c:pt>
                <c:pt idx="9">
                  <c:v>37407</c:v>
                </c:pt>
                <c:pt idx="10">
                  <c:v>37437</c:v>
                </c:pt>
                <c:pt idx="11">
                  <c:v>37468</c:v>
                </c:pt>
                <c:pt idx="12">
                  <c:v>37499</c:v>
                </c:pt>
                <c:pt idx="13">
                  <c:v>37529</c:v>
                </c:pt>
                <c:pt idx="14">
                  <c:v>37560</c:v>
                </c:pt>
                <c:pt idx="15">
                  <c:v>37590</c:v>
                </c:pt>
                <c:pt idx="16">
                  <c:v>37621</c:v>
                </c:pt>
                <c:pt idx="17">
                  <c:v>37652</c:v>
                </c:pt>
                <c:pt idx="18">
                  <c:v>37680</c:v>
                </c:pt>
                <c:pt idx="19">
                  <c:v>37711</c:v>
                </c:pt>
                <c:pt idx="20">
                  <c:v>37741</c:v>
                </c:pt>
                <c:pt idx="21">
                  <c:v>37772</c:v>
                </c:pt>
                <c:pt idx="22">
                  <c:v>37802</c:v>
                </c:pt>
                <c:pt idx="23">
                  <c:v>37833</c:v>
                </c:pt>
                <c:pt idx="24">
                  <c:v>37864</c:v>
                </c:pt>
                <c:pt idx="25">
                  <c:v>37894</c:v>
                </c:pt>
                <c:pt idx="26">
                  <c:v>37925</c:v>
                </c:pt>
                <c:pt idx="27">
                  <c:v>37955</c:v>
                </c:pt>
                <c:pt idx="28">
                  <c:v>37986</c:v>
                </c:pt>
                <c:pt idx="29">
                  <c:v>38017</c:v>
                </c:pt>
                <c:pt idx="30">
                  <c:v>38046</c:v>
                </c:pt>
                <c:pt idx="31">
                  <c:v>38077</c:v>
                </c:pt>
                <c:pt idx="32">
                  <c:v>38107</c:v>
                </c:pt>
                <c:pt idx="33">
                  <c:v>38138</c:v>
                </c:pt>
                <c:pt idx="34">
                  <c:v>38168</c:v>
                </c:pt>
                <c:pt idx="35">
                  <c:v>38199</c:v>
                </c:pt>
                <c:pt idx="36">
                  <c:v>38230</c:v>
                </c:pt>
                <c:pt idx="37">
                  <c:v>38260</c:v>
                </c:pt>
                <c:pt idx="38">
                  <c:v>38291</c:v>
                </c:pt>
                <c:pt idx="39">
                  <c:v>38321</c:v>
                </c:pt>
                <c:pt idx="40">
                  <c:v>38352</c:v>
                </c:pt>
                <c:pt idx="41">
                  <c:v>38383</c:v>
                </c:pt>
                <c:pt idx="42">
                  <c:v>38411</c:v>
                </c:pt>
                <c:pt idx="43">
                  <c:v>38442</c:v>
                </c:pt>
                <c:pt idx="44">
                  <c:v>38472</c:v>
                </c:pt>
                <c:pt idx="45">
                  <c:v>38503</c:v>
                </c:pt>
                <c:pt idx="46">
                  <c:v>38533</c:v>
                </c:pt>
                <c:pt idx="47">
                  <c:v>38564</c:v>
                </c:pt>
                <c:pt idx="48">
                  <c:v>38595</c:v>
                </c:pt>
                <c:pt idx="49">
                  <c:v>38625</c:v>
                </c:pt>
                <c:pt idx="50">
                  <c:v>38656</c:v>
                </c:pt>
                <c:pt idx="51">
                  <c:v>38686</c:v>
                </c:pt>
                <c:pt idx="52">
                  <c:v>38717</c:v>
                </c:pt>
                <c:pt idx="53">
                  <c:v>38748</c:v>
                </c:pt>
                <c:pt idx="54">
                  <c:v>38776</c:v>
                </c:pt>
                <c:pt idx="55">
                  <c:v>38807</c:v>
                </c:pt>
                <c:pt idx="56">
                  <c:v>38837</c:v>
                </c:pt>
                <c:pt idx="57">
                  <c:v>38868</c:v>
                </c:pt>
                <c:pt idx="58">
                  <c:v>38898</c:v>
                </c:pt>
                <c:pt idx="59">
                  <c:v>38929</c:v>
                </c:pt>
                <c:pt idx="60">
                  <c:v>38960</c:v>
                </c:pt>
                <c:pt idx="61">
                  <c:v>38990</c:v>
                </c:pt>
                <c:pt idx="62">
                  <c:v>39021</c:v>
                </c:pt>
                <c:pt idx="63">
                  <c:v>39051</c:v>
                </c:pt>
                <c:pt idx="64">
                  <c:v>39082</c:v>
                </c:pt>
                <c:pt idx="65">
                  <c:v>39113</c:v>
                </c:pt>
                <c:pt idx="66">
                  <c:v>39141</c:v>
                </c:pt>
                <c:pt idx="67">
                  <c:v>39172</c:v>
                </c:pt>
                <c:pt idx="68">
                  <c:v>39202</c:v>
                </c:pt>
                <c:pt idx="69">
                  <c:v>39233</c:v>
                </c:pt>
                <c:pt idx="70">
                  <c:v>39263</c:v>
                </c:pt>
                <c:pt idx="71">
                  <c:v>39294</c:v>
                </c:pt>
                <c:pt idx="72">
                  <c:v>39325</c:v>
                </c:pt>
                <c:pt idx="73">
                  <c:v>39355</c:v>
                </c:pt>
                <c:pt idx="74">
                  <c:v>39386</c:v>
                </c:pt>
                <c:pt idx="75">
                  <c:v>39416</c:v>
                </c:pt>
                <c:pt idx="76">
                  <c:v>39447</c:v>
                </c:pt>
                <c:pt idx="77">
                  <c:v>39478</c:v>
                </c:pt>
                <c:pt idx="78">
                  <c:v>39507</c:v>
                </c:pt>
                <c:pt idx="79">
                  <c:v>39538</c:v>
                </c:pt>
                <c:pt idx="80">
                  <c:v>39568</c:v>
                </c:pt>
                <c:pt idx="81">
                  <c:v>39599</c:v>
                </c:pt>
                <c:pt idx="82">
                  <c:v>39629</c:v>
                </c:pt>
                <c:pt idx="83">
                  <c:v>39660</c:v>
                </c:pt>
                <c:pt idx="84">
                  <c:v>39691</c:v>
                </c:pt>
                <c:pt idx="85">
                  <c:v>39721</c:v>
                </c:pt>
                <c:pt idx="86">
                  <c:v>39752</c:v>
                </c:pt>
                <c:pt idx="87">
                  <c:v>39782</c:v>
                </c:pt>
                <c:pt idx="88">
                  <c:v>39813</c:v>
                </c:pt>
                <c:pt idx="89">
                  <c:v>39844</c:v>
                </c:pt>
                <c:pt idx="90">
                  <c:v>39872</c:v>
                </c:pt>
                <c:pt idx="91">
                  <c:v>39903</c:v>
                </c:pt>
                <c:pt idx="92">
                  <c:v>39933</c:v>
                </c:pt>
                <c:pt idx="93">
                  <c:v>39964</c:v>
                </c:pt>
                <c:pt idx="94">
                  <c:v>39994</c:v>
                </c:pt>
                <c:pt idx="95">
                  <c:v>40025</c:v>
                </c:pt>
                <c:pt idx="96">
                  <c:v>40056</c:v>
                </c:pt>
                <c:pt idx="97">
                  <c:v>40086</c:v>
                </c:pt>
                <c:pt idx="98">
                  <c:v>40117</c:v>
                </c:pt>
                <c:pt idx="99">
                  <c:v>40147</c:v>
                </c:pt>
                <c:pt idx="100">
                  <c:v>40178</c:v>
                </c:pt>
                <c:pt idx="101">
                  <c:v>40209</c:v>
                </c:pt>
                <c:pt idx="102">
                  <c:v>40237</c:v>
                </c:pt>
                <c:pt idx="103">
                  <c:v>40268</c:v>
                </c:pt>
                <c:pt idx="104">
                  <c:v>40298</c:v>
                </c:pt>
                <c:pt idx="105">
                  <c:v>40329</c:v>
                </c:pt>
                <c:pt idx="106">
                  <c:v>40359</c:v>
                </c:pt>
                <c:pt idx="107">
                  <c:v>40390</c:v>
                </c:pt>
                <c:pt idx="108">
                  <c:v>40421</c:v>
                </c:pt>
                <c:pt idx="109">
                  <c:v>40451</c:v>
                </c:pt>
                <c:pt idx="110">
                  <c:v>40482</c:v>
                </c:pt>
                <c:pt idx="111">
                  <c:v>40512</c:v>
                </c:pt>
                <c:pt idx="112">
                  <c:v>40543</c:v>
                </c:pt>
                <c:pt idx="113">
                  <c:v>40574</c:v>
                </c:pt>
                <c:pt idx="114">
                  <c:v>40602</c:v>
                </c:pt>
                <c:pt idx="115">
                  <c:v>40633</c:v>
                </c:pt>
                <c:pt idx="116">
                  <c:v>40663</c:v>
                </c:pt>
                <c:pt idx="117">
                  <c:v>40694</c:v>
                </c:pt>
                <c:pt idx="118">
                  <c:v>40724</c:v>
                </c:pt>
                <c:pt idx="119">
                  <c:v>40755</c:v>
                </c:pt>
                <c:pt idx="120">
                  <c:v>40786</c:v>
                </c:pt>
                <c:pt idx="121">
                  <c:v>40816</c:v>
                </c:pt>
                <c:pt idx="122">
                  <c:v>40847</c:v>
                </c:pt>
                <c:pt idx="123">
                  <c:v>40877</c:v>
                </c:pt>
                <c:pt idx="124">
                  <c:v>40908</c:v>
                </c:pt>
                <c:pt idx="125">
                  <c:v>40939</c:v>
                </c:pt>
                <c:pt idx="126">
                  <c:v>40968</c:v>
                </c:pt>
                <c:pt idx="127">
                  <c:v>40999</c:v>
                </c:pt>
                <c:pt idx="128">
                  <c:v>41029</c:v>
                </c:pt>
                <c:pt idx="129">
                  <c:v>41060</c:v>
                </c:pt>
                <c:pt idx="130">
                  <c:v>41090</c:v>
                </c:pt>
                <c:pt idx="131">
                  <c:v>41121</c:v>
                </c:pt>
                <c:pt idx="132">
                  <c:v>41152</c:v>
                </c:pt>
                <c:pt idx="133">
                  <c:v>41182</c:v>
                </c:pt>
                <c:pt idx="134">
                  <c:v>41213</c:v>
                </c:pt>
                <c:pt idx="135">
                  <c:v>41243</c:v>
                </c:pt>
                <c:pt idx="136">
                  <c:v>41274</c:v>
                </c:pt>
                <c:pt idx="137">
                  <c:v>41305</c:v>
                </c:pt>
                <c:pt idx="138">
                  <c:v>41333</c:v>
                </c:pt>
                <c:pt idx="139">
                  <c:v>41364</c:v>
                </c:pt>
                <c:pt idx="140">
                  <c:v>41394</c:v>
                </c:pt>
                <c:pt idx="141">
                  <c:v>41425</c:v>
                </c:pt>
                <c:pt idx="142">
                  <c:v>41455</c:v>
                </c:pt>
                <c:pt idx="143">
                  <c:v>41486</c:v>
                </c:pt>
                <c:pt idx="144">
                  <c:v>41517</c:v>
                </c:pt>
                <c:pt idx="145">
                  <c:v>41547</c:v>
                </c:pt>
                <c:pt idx="146">
                  <c:v>41578</c:v>
                </c:pt>
                <c:pt idx="147">
                  <c:v>41608</c:v>
                </c:pt>
                <c:pt idx="148">
                  <c:v>41639</c:v>
                </c:pt>
                <c:pt idx="149">
                  <c:v>41670</c:v>
                </c:pt>
                <c:pt idx="150">
                  <c:v>41698</c:v>
                </c:pt>
                <c:pt idx="151">
                  <c:v>41729</c:v>
                </c:pt>
                <c:pt idx="152">
                  <c:v>41759</c:v>
                </c:pt>
                <c:pt idx="153">
                  <c:v>41790</c:v>
                </c:pt>
                <c:pt idx="154">
                  <c:v>41820</c:v>
                </c:pt>
                <c:pt idx="155">
                  <c:v>41851</c:v>
                </c:pt>
                <c:pt idx="156">
                  <c:v>41882</c:v>
                </c:pt>
                <c:pt idx="157">
                  <c:v>41912</c:v>
                </c:pt>
                <c:pt idx="158">
                  <c:v>41943</c:v>
                </c:pt>
                <c:pt idx="159">
                  <c:v>41973</c:v>
                </c:pt>
                <c:pt idx="160">
                  <c:v>42004</c:v>
                </c:pt>
                <c:pt idx="161">
                  <c:v>42035</c:v>
                </c:pt>
                <c:pt idx="162">
                  <c:v>42063</c:v>
                </c:pt>
                <c:pt idx="163">
                  <c:v>42094</c:v>
                </c:pt>
                <c:pt idx="164">
                  <c:v>42124</c:v>
                </c:pt>
                <c:pt idx="165">
                  <c:v>42155</c:v>
                </c:pt>
                <c:pt idx="166">
                  <c:v>42185</c:v>
                </c:pt>
                <c:pt idx="167">
                  <c:v>42216</c:v>
                </c:pt>
                <c:pt idx="168">
                  <c:v>42247</c:v>
                </c:pt>
                <c:pt idx="169">
                  <c:v>42277</c:v>
                </c:pt>
                <c:pt idx="170">
                  <c:v>42308</c:v>
                </c:pt>
                <c:pt idx="171">
                  <c:v>42338</c:v>
                </c:pt>
                <c:pt idx="172">
                  <c:v>42369</c:v>
                </c:pt>
                <c:pt idx="173">
                  <c:v>42400</c:v>
                </c:pt>
                <c:pt idx="174">
                  <c:v>42429</c:v>
                </c:pt>
                <c:pt idx="175">
                  <c:v>42460</c:v>
                </c:pt>
                <c:pt idx="176">
                  <c:v>42490</c:v>
                </c:pt>
                <c:pt idx="177">
                  <c:v>42521</c:v>
                </c:pt>
                <c:pt idx="178">
                  <c:v>42551</c:v>
                </c:pt>
                <c:pt idx="179">
                  <c:v>42582</c:v>
                </c:pt>
                <c:pt idx="180">
                  <c:v>42613</c:v>
                </c:pt>
                <c:pt idx="181">
                  <c:v>42643</c:v>
                </c:pt>
                <c:pt idx="182">
                  <c:v>42674</c:v>
                </c:pt>
                <c:pt idx="183">
                  <c:v>42704</c:v>
                </c:pt>
                <c:pt idx="184">
                  <c:v>42735</c:v>
                </c:pt>
                <c:pt idx="185">
                  <c:v>42766</c:v>
                </c:pt>
                <c:pt idx="186">
                  <c:v>42794</c:v>
                </c:pt>
                <c:pt idx="187">
                  <c:v>42825</c:v>
                </c:pt>
                <c:pt idx="188">
                  <c:v>42855</c:v>
                </c:pt>
                <c:pt idx="189">
                  <c:v>42886</c:v>
                </c:pt>
                <c:pt idx="190">
                  <c:v>42916</c:v>
                </c:pt>
                <c:pt idx="191">
                  <c:v>42947</c:v>
                </c:pt>
                <c:pt idx="192">
                  <c:v>42978</c:v>
                </c:pt>
                <c:pt idx="193">
                  <c:v>43008</c:v>
                </c:pt>
                <c:pt idx="194">
                  <c:v>43039</c:v>
                </c:pt>
                <c:pt idx="195">
                  <c:v>43069</c:v>
                </c:pt>
                <c:pt idx="196">
                  <c:v>43100</c:v>
                </c:pt>
                <c:pt idx="197">
                  <c:v>43131</c:v>
                </c:pt>
                <c:pt idx="198">
                  <c:v>43159</c:v>
                </c:pt>
                <c:pt idx="199">
                  <c:v>43190</c:v>
                </c:pt>
                <c:pt idx="200">
                  <c:v>43220</c:v>
                </c:pt>
                <c:pt idx="201">
                  <c:v>43251</c:v>
                </c:pt>
                <c:pt idx="202">
                  <c:v>43281</c:v>
                </c:pt>
                <c:pt idx="203">
                  <c:v>43312</c:v>
                </c:pt>
                <c:pt idx="204">
                  <c:v>43343</c:v>
                </c:pt>
                <c:pt idx="205">
                  <c:v>43373</c:v>
                </c:pt>
                <c:pt idx="206">
                  <c:v>43404</c:v>
                </c:pt>
                <c:pt idx="207">
                  <c:v>43434</c:v>
                </c:pt>
                <c:pt idx="208">
                  <c:v>43465</c:v>
                </c:pt>
                <c:pt idx="209">
                  <c:v>43496</c:v>
                </c:pt>
                <c:pt idx="210">
                  <c:v>43524</c:v>
                </c:pt>
                <c:pt idx="211">
                  <c:v>43555</c:v>
                </c:pt>
                <c:pt idx="212">
                  <c:v>43585</c:v>
                </c:pt>
                <c:pt idx="213">
                  <c:v>43616</c:v>
                </c:pt>
                <c:pt idx="214">
                  <c:v>43646</c:v>
                </c:pt>
                <c:pt idx="215">
                  <c:v>43677</c:v>
                </c:pt>
                <c:pt idx="216">
                  <c:v>43708</c:v>
                </c:pt>
                <c:pt idx="217">
                  <c:v>43738</c:v>
                </c:pt>
                <c:pt idx="218">
                  <c:v>43769</c:v>
                </c:pt>
                <c:pt idx="219">
                  <c:v>43799</c:v>
                </c:pt>
                <c:pt idx="220">
                  <c:v>43830</c:v>
                </c:pt>
                <c:pt idx="221">
                  <c:v>43861</c:v>
                </c:pt>
                <c:pt idx="222">
                  <c:v>43890</c:v>
                </c:pt>
                <c:pt idx="223">
                  <c:v>43921</c:v>
                </c:pt>
                <c:pt idx="224">
                  <c:v>43951</c:v>
                </c:pt>
                <c:pt idx="225">
                  <c:v>43982</c:v>
                </c:pt>
                <c:pt idx="226">
                  <c:v>44012</c:v>
                </c:pt>
                <c:pt idx="227">
                  <c:v>44043</c:v>
                </c:pt>
                <c:pt idx="228">
                  <c:v>44074</c:v>
                </c:pt>
                <c:pt idx="229">
                  <c:v>44104</c:v>
                </c:pt>
                <c:pt idx="230">
                  <c:v>44135</c:v>
                </c:pt>
                <c:pt idx="231">
                  <c:v>44165</c:v>
                </c:pt>
                <c:pt idx="232">
                  <c:v>44196</c:v>
                </c:pt>
                <c:pt idx="233">
                  <c:v>44227</c:v>
                </c:pt>
                <c:pt idx="234">
                  <c:v>44255</c:v>
                </c:pt>
                <c:pt idx="235">
                  <c:v>44286</c:v>
                </c:pt>
                <c:pt idx="236">
                  <c:v>44316</c:v>
                </c:pt>
                <c:pt idx="237">
                  <c:v>44347</c:v>
                </c:pt>
                <c:pt idx="238">
                  <c:v>44377</c:v>
                </c:pt>
                <c:pt idx="239">
                  <c:v>44408</c:v>
                </c:pt>
                <c:pt idx="240">
                  <c:v>44439</c:v>
                </c:pt>
                <c:pt idx="241">
                  <c:v>44469</c:v>
                </c:pt>
                <c:pt idx="242">
                  <c:v>44500</c:v>
                </c:pt>
                <c:pt idx="243">
                  <c:v>44530</c:v>
                </c:pt>
                <c:pt idx="244">
                  <c:v>44561</c:v>
                </c:pt>
                <c:pt idx="245">
                  <c:v>44592</c:v>
                </c:pt>
                <c:pt idx="246">
                  <c:v>44620</c:v>
                </c:pt>
                <c:pt idx="247">
                  <c:v>44651</c:v>
                </c:pt>
                <c:pt idx="248">
                  <c:v>44681</c:v>
                </c:pt>
                <c:pt idx="249">
                  <c:v>44712</c:v>
                </c:pt>
                <c:pt idx="250">
                  <c:v>44742</c:v>
                </c:pt>
                <c:pt idx="251">
                  <c:v>44773</c:v>
                </c:pt>
                <c:pt idx="252">
                  <c:v>44804</c:v>
                </c:pt>
                <c:pt idx="253">
                  <c:v>44834</c:v>
                </c:pt>
                <c:pt idx="254">
                  <c:v>44865</c:v>
                </c:pt>
                <c:pt idx="255">
                  <c:v>44895</c:v>
                </c:pt>
                <c:pt idx="256">
                  <c:v>44926</c:v>
                </c:pt>
                <c:pt idx="257">
                  <c:v>44957</c:v>
                </c:pt>
                <c:pt idx="258">
                  <c:v>44985</c:v>
                </c:pt>
                <c:pt idx="259">
                  <c:v>45016</c:v>
                </c:pt>
                <c:pt idx="260">
                  <c:v>45046</c:v>
                </c:pt>
                <c:pt idx="261">
                  <c:v>45077</c:v>
                </c:pt>
                <c:pt idx="262">
                  <c:v>45107</c:v>
                </c:pt>
                <c:pt idx="263">
                  <c:v>45138</c:v>
                </c:pt>
                <c:pt idx="264">
                  <c:v>45169</c:v>
                </c:pt>
                <c:pt idx="265">
                  <c:v>45199</c:v>
                </c:pt>
                <c:pt idx="266">
                  <c:v>45230</c:v>
                </c:pt>
                <c:pt idx="267">
                  <c:v>45260</c:v>
                </c:pt>
                <c:pt idx="268">
                  <c:v>45291</c:v>
                </c:pt>
              </c:numCache>
            </c:numRef>
          </c:cat>
          <c:val>
            <c:numRef>
              <c:f>'3.8.2 Exchange Risk - EUR'!$D$2:$D$270</c:f>
              <c:numCache>
                <c:formatCode>0.000</c:formatCode>
                <c:ptCount val="269"/>
                <c:pt idx="0">
                  <c:v>1.2591457214265E-2</c:v>
                </c:pt>
                <c:pt idx="1">
                  <c:v>1.1419699523748111E-2</c:v>
                </c:pt>
                <c:pt idx="2">
                  <c:v>1.1419699523748111E-2</c:v>
                </c:pt>
                <c:pt idx="3">
                  <c:v>1.1419699523748111E-2</c:v>
                </c:pt>
                <c:pt idx="4">
                  <c:v>1.0529205763641197E-2</c:v>
                </c:pt>
                <c:pt idx="5">
                  <c:v>1.0529205763641197E-2</c:v>
                </c:pt>
                <c:pt idx="6">
                  <c:v>1.0529205763641197E-2</c:v>
                </c:pt>
                <c:pt idx="7">
                  <c:v>1.3270984666617316E-2</c:v>
                </c:pt>
                <c:pt idx="8">
                  <c:v>1.3270984666617316E-2</c:v>
                </c:pt>
                <c:pt idx="9">
                  <c:v>1.3270984666617316E-2</c:v>
                </c:pt>
                <c:pt idx="10">
                  <c:v>1.324840982459214E-2</c:v>
                </c:pt>
                <c:pt idx="11">
                  <c:v>1.324840982459214E-2</c:v>
                </c:pt>
                <c:pt idx="12">
                  <c:v>1.324840982459214E-2</c:v>
                </c:pt>
                <c:pt idx="13">
                  <c:v>1.4653559921838923E-2</c:v>
                </c:pt>
                <c:pt idx="14">
                  <c:v>1.4653559921838923E-2</c:v>
                </c:pt>
                <c:pt idx="15">
                  <c:v>1.4653559921838923E-2</c:v>
                </c:pt>
                <c:pt idx="16">
                  <c:v>1.4410507056385571E-2</c:v>
                </c:pt>
                <c:pt idx="17">
                  <c:v>1.4410507056385571E-2</c:v>
                </c:pt>
                <c:pt idx="18">
                  <c:v>1.4410507056385571E-2</c:v>
                </c:pt>
                <c:pt idx="19">
                  <c:v>1.3888995309643831E-2</c:v>
                </c:pt>
                <c:pt idx="20">
                  <c:v>1.3888995309643831E-2</c:v>
                </c:pt>
                <c:pt idx="21">
                  <c:v>1.3888995309643831E-2</c:v>
                </c:pt>
                <c:pt idx="22">
                  <c:v>1.4350122901171946E-2</c:v>
                </c:pt>
                <c:pt idx="23">
                  <c:v>1.4350122901171946E-2</c:v>
                </c:pt>
                <c:pt idx="24">
                  <c:v>1.4350122901171946E-2</c:v>
                </c:pt>
                <c:pt idx="25">
                  <c:v>1.6174069933868995E-2</c:v>
                </c:pt>
                <c:pt idx="26">
                  <c:v>1.6174069933868995E-2</c:v>
                </c:pt>
                <c:pt idx="27">
                  <c:v>1.6174069933868995E-2</c:v>
                </c:pt>
                <c:pt idx="28">
                  <c:v>1.7435616809942732E-2</c:v>
                </c:pt>
                <c:pt idx="29">
                  <c:v>1.7435616809942732E-2</c:v>
                </c:pt>
                <c:pt idx="30">
                  <c:v>1.7435616809942732E-2</c:v>
                </c:pt>
                <c:pt idx="31">
                  <c:v>1.7481014512418517E-2</c:v>
                </c:pt>
                <c:pt idx="32">
                  <c:v>1.7481014512418517E-2</c:v>
                </c:pt>
                <c:pt idx="33">
                  <c:v>1.7481014512418517E-2</c:v>
                </c:pt>
                <c:pt idx="34">
                  <c:v>1.7355251976343609E-2</c:v>
                </c:pt>
                <c:pt idx="35">
                  <c:v>1.7355251976343609E-2</c:v>
                </c:pt>
                <c:pt idx="36">
                  <c:v>1.7355251976343609E-2</c:v>
                </c:pt>
                <c:pt idx="37">
                  <c:v>1.6503340615313181E-2</c:v>
                </c:pt>
                <c:pt idx="38">
                  <c:v>1.6503340615313181E-2</c:v>
                </c:pt>
                <c:pt idx="39">
                  <c:v>1.6503340615313181E-2</c:v>
                </c:pt>
                <c:pt idx="40">
                  <c:v>1.6325511882932093E-2</c:v>
                </c:pt>
                <c:pt idx="41">
                  <c:v>1.6325511882932093E-2</c:v>
                </c:pt>
                <c:pt idx="42">
                  <c:v>1.6325511882932093E-2</c:v>
                </c:pt>
                <c:pt idx="43">
                  <c:v>1.6995204298932077E-2</c:v>
                </c:pt>
                <c:pt idx="44">
                  <c:v>1.6995204298932077E-2</c:v>
                </c:pt>
                <c:pt idx="45">
                  <c:v>1.6995204298932077E-2</c:v>
                </c:pt>
                <c:pt idx="46">
                  <c:v>1.6652405391553656E-2</c:v>
                </c:pt>
                <c:pt idx="47">
                  <c:v>1.6652405391553656E-2</c:v>
                </c:pt>
                <c:pt idx="48">
                  <c:v>1.6652405391553656E-2</c:v>
                </c:pt>
                <c:pt idx="49">
                  <c:v>1.6446548057256233E-2</c:v>
                </c:pt>
                <c:pt idx="50">
                  <c:v>1.6446548057256233E-2</c:v>
                </c:pt>
                <c:pt idx="51">
                  <c:v>1.6446548057256233E-2</c:v>
                </c:pt>
                <c:pt idx="52">
                  <c:v>1.5837863046243007E-2</c:v>
                </c:pt>
                <c:pt idx="53">
                  <c:v>1.5837863046243007E-2</c:v>
                </c:pt>
                <c:pt idx="54">
                  <c:v>1.5837863046243007E-2</c:v>
                </c:pt>
                <c:pt idx="55">
                  <c:v>1.6151051764326376E-2</c:v>
                </c:pt>
                <c:pt idx="56">
                  <c:v>1.6151051764326376E-2</c:v>
                </c:pt>
                <c:pt idx="57">
                  <c:v>1.6151051764326376E-2</c:v>
                </c:pt>
                <c:pt idx="58">
                  <c:v>1.5838074335253579E-2</c:v>
                </c:pt>
                <c:pt idx="59">
                  <c:v>1.5838074335253579E-2</c:v>
                </c:pt>
                <c:pt idx="60">
                  <c:v>1.5838074335253579E-2</c:v>
                </c:pt>
                <c:pt idx="61">
                  <c:v>1.4925980976030644E-2</c:v>
                </c:pt>
                <c:pt idx="62">
                  <c:v>1.4925980976030644E-2</c:v>
                </c:pt>
                <c:pt idx="63">
                  <c:v>1.4925980976030644E-2</c:v>
                </c:pt>
                <c:pt idx="64">
                  <c:v>1.537506040913097E-2</c:v>
                </c:pt>
                <c:pt idx="65">
                  <c:v>1.537506040913097E-2</c:v>
                </c:pt>
                <c:pt idx="66">
                  <c:v>1.537506040913097E-2</c:v>
                </c:pt>
                <c:pt idx="67">
                  <c:v>1.3709542785744867E-2</c:v>
                </c:pt>
                <c:pt idx="68">
                  <c:v>1.3709542785744867E-2</c:v>
                </c:pt>
                <c:pt idx="69">
                  <c:v>1.3709542785744867E-2</c:v>
                </c:pt>
                <c:pt idx="70">
                  <c:v>1.4316559296847249E-2</c:v>
                </c:pt>
                <c:pt idx="71">
                  <c:v>1.4316559296847249E-2</c:v>
                </c:pt>
                <c:pt idx="72">
                  <c:v>1.4316559296847249E-2</c:v>
                </c:pt>
                <c:pt idx="73">
                  <c:v>1.4989672891687265E-2</c:v>
                </c:pt>
                <c:pt idx="74">
                  <c:v>1.4989672891687265E-2</c:v>
                </c:pt>
                <c:pt idx="75">
                  <c:v>1.4989672891687265E-2</c:v>
                </c:pt>
                <c:pt idx="76">
                  <c:v>1.4633123487540436E-2</c:v>
                </c:pt>
                <c:pt idx="77">
                  <c:v>1.4633123487540436E-2</c:v>
                </c:pt>
                <c:pt idx="78">
                  <c:v>1.4633123487540436E-2</c:v>
                </c:pt>
                <c:pt idx="79">
                  <c:v>1.3374629354738893E-2</c:v>
                </c:pt>
                <c:pt idx="80">
                  <c:v>1.3374629354738893E-2</c:v>
                </c:pt>
                <c:pt idx="81">
                  <c:v>1.3374629354738893E-2</c:v>
                </c:pt>
                <c:pt idx="82">
                  <c:v>1.3343882602656398E-2</c:v>
                </c:pt>
                <c:pt idx="83">
                  <c:v>1.3343882602656398E-2</c:v>
                </c:pt>
                <c:pt idx="84">
                  <c:v>1.3343882602656398E-2</c:v>
                </c:pt>
                <c:pt idx="85">
                  <c:v>1.0817820088993504E-2</c:v>
                </c:pt>
                <c:pt idx="86">
                  <c:v>1.0817820088993504E-2</c:v>
                </c:pt>
                <c:pt idx="87">
                  <c:v>1.0817820088993504E-2</c:v>
                </c:pt>
                <c:pt idx="88">
                  <c:v>-1.1550900774934043E-2</c:v>
                </c:pt>
                <c:pt idx="89">
                  <c:v>-1.1550900774934043E-2</c:v>
                </c:pt>
                <c:pt idx="90">
                  <c:v>-1.1550900774934043E-2</c:v>
                </c:pt>
                <c:pt idx="91">
                  <c:v>-1.3072995670032199E-2</c:v>
                </c:pt>
                <c:pt idx="92">
                  <c:v>-1.3072995670032199E-2</c:v>
                </c:pt>
                <c:pt idx="93">
                  <c:v>-1.3072995670032199E-2</c:v>
                </c:pt>
                <c:pt idx="94">
                  <c:v>-1.4388498081299925E-2</c:v>
                </c:pt>
                <c:pt idx="95">
                  <c:v>-1.4388498081299925E-2</c:v>
                </c:pt>
                <c:pt idx="96">
                  <c:v>-1.4388498081299925E-2</c:v>
                </c:pt>
                <c:pt idx="97">
                  <c:v>-1.2872148311146527E-2</c:v>
                </c:pt>
                <c:pt idx="98">
                  <c:v>-1.2872148311146527E-2</c:v>
                </c:pt>
                <c:pt idx="99">
                  <c:v>-1.2872148311146527E-2</c:v>
                </c:pt>
                <c:pt idx="100">
                  <c:v>1.0340209494338178E-2</c:v>
                </c:pt>
                <c:pt idx="101">
                  <c:v>1.0340209494338178E-2</c:v>
                </c:pt>
                <c:pt idx="102">
                  <c:v>1.0340209494338178E-2</c:v>
                </c:pt>
                <c:pt idx="103">
                  <c:v>1.4002138278837237E-2</c:v>
                </c:pt>
                <c:pt idx="104">
                  <c:v>1.4002138278837237E-2</c:v>
                </c:pt>
                <c:pt idx="105">
                  <c:v>1.4002138278837237E-2</c:v>
                </c:pt>
                <c:pt idx="106">
                  <c:v>1.575888565540369E-2</c:v>
                </c:pt>
                <c:pt idx="107">
                  <c:v>1.575888565540369E-2</c:v>
                </c:pt>
                <c:pt idx="108">
                  <c:v>1.575888565540369E-2</c:v>
                </c:pt>
                <c:pt idx="109">
                  <c:v>1.6316868882601167E-2</c:v>
                </c:pt>
                <c:pt idx="110">
                  <c:v>1.6316868882601167E-2</c:v>
                </c:pt>
                <c:pt idx="111">
                  <c:v>1.6316868882601167E-2</c:v>
                </c:pt>
                <c:pt idx="112">
                  <c:v>1.5571935213835082E-2</c:v>
                </c:pt>
                <c:pt idx="113">
                  <c:v>1.5571935213835082E-2</c:v>
                </c:pt>
                <c:pt idx="114">
                  <c:v>1.5571935213835082E-2</c:v>
                </c:pt>
                <c:pt idx="115">
                  <c:v>1.4482821829050117E-2</c:v>
                </c:pt>
                <c:pt idx="116">
                  <c:v>1.4482821829050117E-2</c:v>
                </c:pt>
                <c:pt idx="117">
                  <c:v>1.4482821829050117E-2</c:v>
                </c:pt>
                <c:pt idx="118">
                  <c:v>1.3999492838770757E-2</c:v>
                </c:pt>
                <c:pt idx="119">
                  <c:v>1.3999492838770757E-2</c:v>
                </c:pt>
                <c:pt idx="120">
                  <c:v>1.3999492838770757E-2</c:v>
                </c:pt>
                <c:pt idx="121">
                  <c:v>1.2477619558515134E-2</c:v>
                </c:pt>
                <c:pt idx="122">
                  <c:v>1.2477619558515134E-2</c:v>
                </c:pt>
                <c:pt idx="123">
                  <c:v>1.2477619558515134E-2</c:v>
                </c:pt>
                <c:pt idx="124">
                  <c:v>1.3649591869257151E-2</c:v>
                </c:pt>
                <c:pt idx="125">
                  <c:v>1.3649591869257151E-2</c:v>
                </c:pt>
                <c:pt idx="126">
                  <c:v>1.3649591869257151E-2</c:v>
                </c:pt>
                <c:pt idx="127">
                  <c:v>1.5380004407909754E-2</c:v>
                </c:pt>
                <c:pt idx="128">
                  <c:v>1.5380004407909754E-2</c:v>
                </c:pt>
                <c:pt idx="129">
                  <c:v>1.5380004407909754E-2</c:v>
                </c:pt>
                <c:pt idx="130">
                  <c:v>1.5041879262637553E-2</c:v>
                </c:pt>
                <c:pt idx="131">
                  <c:v>1.5041879262637553E-2</c:v>
                </c:pt>
                <c:pt idx="132">
                  <c:v>1.5041879262637553E-2</c:v>
                </c:pt>
                <c:pt idx="133">
                  <c:v>1.5288797244473629E-2</c:v>
                </c:pt>
                <c:pt idx="134">
                  <c:v>1.5288797244473629E-2</c:v>
                </c:pt>
                <c:pt idx="135">
                  <c:v>1.5288797244473629E-2</c:v>
                </c:pt>
                <c:pt idx="136">
                  <c:v>1.3665287652515765E-2</c:v>
                </c:pt>
                <c:pt idx="137">
                  <c:v>1.3665287652515765E-2</c:v>
                </c:pt>
                <c:pt idx="138">
                  <c:v>1.3665287652515765E-2</c:v>
                </c:pt>
                <c:pt idx="139">
                  <c:v>1.39262929005061E-2</c:v>
                </c:pt>
                <c:pt idx="140">
                  <c:v>1.39262929005061E-2</c:v>
                </c:pt>
                <c:pt idx="141">
                  <c:v>1.39262929005061E-2</c:v>
                </c:pt>
                <c:pt idx="142">
                  <c:v>1.3608069209377316E-2</c:v>
                </c:pt>
                <c:pt idx="143">
                  <c:v>1.3608069209377316E-2</c:v>
                </c:pt>
                <c:pt idx="144">
                  <c:v>1.3608069209377316E-2</c:v>
                </c:pt>
                <c:pt idx="145">
                  <c:v>1.4792742058515648E-2</c:v>
                </c:pt>
                <c:pt idx="146">
                  <c:v>1.4792742058515648E-2</c:v>
                </c:pt>
                <c:pt idx="147">
                  <c:v>1.4792742058515648E-2</c:v>
                </c:pt>
                <c:pt idx="148">
                  <c:v>1.588610272560553E-2</c:v>
                </c:pt>
                <c:pt idx="149">
                  <c:v>1.588610272560553E-2</c:v>
                </c:pt>
                <c:pt idx="150">
                  <c:v>1.588610272560553E-2</c:v>
                </c:pt>
                <c:pt idx="151">
                  <c:v>1.3839694401963936E-2</c:v>
                </c:pt>
                <c:pt idx="152">
                  <c:v>1.3839694401963936E-2</c:v>
                </c:pt>
                <c:pt idx="153">
                  <c:v>1.3839694401963936E-2</c:v>
                </c:pt>
                <c:pt idx="154">
                  <c:v>1.545165694081365E-2</c:v>
                </c:pt>
                <c:pt idx="155">
                  <c:v>1.545165694081365E-2</c:v>
                </c:pt>
                <c:pt idx="156">
                  <c:v>1.545165694081365E-2</c:v>
                </c:pt>
                <c:pt idx="157">
                  <c:v>1.5952711547205053E-2</c:v>
                </c:pt>
                <c:pt idx="158">
                  <c:v>1.5952711547205053E-2</c:v>
                </c:pt>
                <c:pt idx="159">
                  <c:v>1.5952711547205053E-2</c:v>
                </c:pt>
                <c:pt idx="160">
                  <c:v>1.5447045374331322E-2</c:v>
                </c:pt>
                <c:pt idx="161">
                  <c:v>1.5447045374331322E-2</c:v>
                </c:pt>
                <c:pt idx="162">
                  <c:v>1.5447045374331322E-2</c:v>
                </c:pt>
                <c:pt idx="163">
                  <c:v>1.7064673716631083E-2</c:v>
                </c:pt>
                <c:pt idx="164">
                  <c:v>1.7064673716631083E-2</c:v>
                </c:pt>
                <c:pt idx="165">
                  <c:v>1.7064673716631083E-2</c:v>
                </c:pt>
                <c:pt idx="166">
                  <c:v>1.6234937679949296E-2</c:v>
                </c:pt>
                <c:pt idx="167">
                  <c:v>1.6234937679949296E-2</c:v>
                </c:pt>
                <c:pt idx="168">
                  <c:v>1.6234937679949296E-2</c:v>
                </c:pt>
                <c:pt idx="169">
                  <c:v>1.5106366334405343E-2</c:v>
                </c:pt>
                <c:pt idx="170">
                  <c:v>1.5106366334405343E-2</c:v>
                </c:pt>
                <c:pt idx="171">
                  <c:v>1.5106366334405343E-2</c:v>
                </c:pt>
                <c:pt idx="172">
                  <c:v>1.4612050943554705E-2</c:v>
                </c:pt>
                <c:pt idx="173">
                  <c:v>1.4612050943554705E-2</c:v>
                </c:pt>
                <c:pt idx="174">
                  <c:v>1.4612050943554705E-2</c:v>
                </c:pt>
                <c:pt idx="175">
                  <c:v>1.4086235750514977E-2</c:v>
                </c:pt>
                <c:pt idx="176">
                  <c:v>1.4086235750514977E-2</c:v>
                </c:pt>
                <c:pt idx="177">
                  <c:v>1.4086235750514977E-2</c:v>
                </c:pt>
                <c:pt idx="178">
                  <c:v>1.3559868538853083E-2</c:v>
                </c:pt>
                <c:pt idx="179">
                  <c:v>1.3559868538853083E-2</c:v>
                </c:pt>
                <c:pt idx="180">
                  <c:v>1.3559868538853083E-2</c:v>
                </c:pt>
                <c:pt idx="181">
                  <c:v>1.4104269786475561E-2</c:v>
                </c:pt>
                <c:pt idx="182">
                  <c:v>1.4104269786475561E-2</c:v>
                </c:pt>
                <c:pt idx="183">
                  <c:v>1.4104269786475561E-2</c:v>
                </c:pt>
                <c:pt idx="184">
                  <c:v>1.4707800478430606E-2</c:v>
                </c:pt>
                <c:pt idx="185">
                  <c:v>1.4707800478430606E-2</c:v>
                </c:pt>
                <c:pt idx="186">
                  <c:v>1.4707800478430606E-2</c:v>
                </c:pt>
                <c:pt idx="187">
                  <c:v>1.4561325680324312E-2</c:v>
                </c:pt>
                <c:pt idx="188">
                  <c:v>1.4561325680324312E-2</c:v>
                </c:pt>
                <c:pt idx="189">
                  <c:v>1.4561325680324312E-2</c:v>
                </c:pt>
                <c:pt idx="190">
                  <c:v>1.4933659024217602E-2</c:v>
                </c:pt>
                <c:pt idx="191">
                  <c:v>1.4933659024217602E-2</c:v>
                </c:pt>
                <c:pt idx="192">
                  <c:v>1.4933659024217602E-2</c:v>
                </c:pt>
                <c:pt idx="193">
                  <c:v>1.5052874143413629E-2</c:v>
                </c:pt>
                <c:pt idx="194">
                  <c:v>1.5052874143413629E-2</c:v>
                </c:pt>
                <c:pt idx="195">
                  <c:v>1.5052874143413629E-2</c:v>
                </c:pt>
                <c:pt idx="196">
                  <c:v>1.5866248434432455E-2</c:v>
                </c:pt>
                <c:pt idx="197">
                  <c:v>1.5866248434432455E-2</c:v>
                </c:pt>
                <c:pt idx="198">
                  <c:v>1.5866248434432455E-2</c:v>
                </c:pt>
                <c:pt idx="199">
                  <c:v>1.6297550286124184E-2</c:v>
                </c:pt>
                <c:pt idx="200">
                  <c:v>1.6297550286124184E-2</c:v>
                </c:pt>
                <c:pt idx="201">
                  <c:v>1.6297550286124184E-2</c:v>
                </c:pt>
                <c:pt idx="202">
                  <c:v>1.6260030540961451E-2</c:v>
                </c:pt>
                <c:pt idx="203">
                  <c:v>1.6260030540961451E-2</c:v>
                </c:pt>
                <c:pt idx="204">
                  <c:v>1.6260030540961451E-2</c:v>
                </c:pt>
                <c:pt idx="205">
                  <c:v>1.6044201215837078E-2</c:v>
                </c:pt>
                <c:pt idx="206">
                  <c:v>1.6044201215837078E-2</c:v>
                </c:pt>
                <c:pt idx="207">
                  <c:v>1.6044201215837078E-2</c:v>
                </c:pt>
                <c:pt idx="208">
                  <c:v>1.462024416918075E-2</c:v>
                </c:pt>
                <c:pt idx="209">
                  <c:v>1.462024416918075E-2</c:v>
                </c:pt>
                <c:pt idx="210">
                  <c:v>1.462024416918075E-2</c:v>
                </c:pt>
                <c:pt idx="211">
                  <c:v>1.4314896534297466E-2</c:v>
                </c:pt>
                <c:pt idx="212">
                  <c:v>1.4314896534297466E-2</c:v>
                </c:pt>
                <c:pt idx="213">
                  <c:v>1.4314896534297466E-2</c:v>
                </c:pt>
                <c:pt idx="214">
                  <c:v>1.4800687057220539E-2</c:v>
                </c:pt>
                <c:pt idx="215">
                  <c:v>1.4800687057220539E-2</c:v>
                </c:pt>
                <c:pt idx="216">
                  <c:v>1.4800687057220539E-2</c:v>
                </c:pt>
                <c:pt idx="217">
                  <c:v>1.5600942305560462E-2</c:v>
                </c:pt>
                <c:pt idx="218">
                  <c:v>1.5600942305560462E-2</c:v>
                </c:pt>
                <c:pt idx="219">
                  <c:v>1.5600942305560462E-2</c:v>
                </c:pt>
                <c:pt idx="220">
                  <c:v>1.6326070916365853E-2</c:v>
                </c:pt>
                <c:pt idx="221">
                  <c:v>1.6326070916365853E-2</c:v>
                </c:pt>
                <c:pt idx="222">
                  <c:v>1.6326070916365853E-2</c:v>
                </c:pt>
                <c:pt idx="223">
                  <c:v>1.3162423742811851E-2</c:v>
                </c:pt>
                <c:pt idx="224">
                  <c:v>1.3162423742811851E-2</c:v>
                </c:pt>
                <c:pt idx="225">
                  <c:v>1.3162423742811851E-2</c:v>
                </c:pt>
                <c:pt idx="226">
                  <c:v>-1.866501384529522E-2</c:v>
                </c:pt>
                <c:pt idx="227">
                  <c:v>-1.866501384529522E-2</c:v>
                </c:pt>
                <c:pt idx="228">
                  <c:v>-1.866501384529522E-2</c:v>
                </c:pt>
                <c:pt idx="229">
                  <c:v>-7.4465804164323213E-3</c:v>
                </c:pt>
                <c:pt idx="230">
                  <c:v>-7.4465804164323213E-3</c:v>
                </c:pt>
                <c:pt idx="231">
                  <c:v>-7.4465804164323213E-3</c:v>
                </c:pt>
                <c:pt idx="232">
                  <c:v>-2.6368375431709682E-3</c:v>
                </c:pt>
                <c:pt idx="233">
                  <c:v>-2.6368375431709682E-3</c:v>
                </c:pt>
                <c:pt idx="234">
                  <c:v>-2.6368375431709682E-3</c:v>
                </c:pt>
                <c:pt idx="235">
                  <c:v>1.4035336245860515E-2</c:v>
                </c:pt>
                <c:pt idx="236">
                  <c:v>1.4035336245860515E-2</c:v>
                </c:pt>
                <c:pt idx="237">
                  <c:v>1.4035336245860515E-2</c:v>
                </c:pt>
                <c:pt idx="238">
                  <c:v>2.3656766892583069E-2</c:v>
                </c:pt>
                <c:pt idx="239">
                  <c:v>2.3656766892583069E-2</c:v>
                </c:pt>
                <c:pt idx="240">
                  <c:v>2.3656766892583069E-2</c:v>
                </c:pt>
                <c:pt idx="241">
                  <c:v>1.8147401166451135E-2</c:v>
                </c:pt>
                <c:pt idx="242">
                  <c:v>1.8147401166451135E-2</c:v>
                </c:pt>
                <c:pt idx="243">
                  <c:v>1.8147401166451135E-2</c:v>
                </c:pt>
                <c:pt idx="244">
                  <c:v>1.8873284764387446E-2</c:v>
                </c:pt>
                <c:pt idx="245">
                  <c:v>1.8873284764387446E-2</c:v>
                </c:pt>
                <c:pt idx="246">
                  <c:v>1.8873284764387446E-2</c:v>
                </c:pt>
                <c:pt idx="247">
                  <c:v>1.711659526835518E-2</c:v>
                </c:pt>
                <c:pt idx="248">
                  <c:v>1.711659526835518E-2</c:v>
                </c:pt>
                <c:pt idx="249">
                  <c:v>1.711659526835518E-2</c:v>
                </c:pt>
                <c:pt idx="250">
                  <c:v>1.5152456622908577E-2</c:v>
                </c:pt>
                <c:pt idx="251">
                  <c:v>1.5152456622908577E-2</c:v>
                </c:pt>
                <c:pt idx="252">
                  <c:v>1.5152456622908577E-2</c:v>
                </c:pt>
                <c:pt idx="253">
                  <c:v>1.4882754246254626E-2</c:v>
                </c:pt>
                <c:pt idx="254">
                  <c:v>1.4882754246254626E-2</c:v>
                </c:pt>
                <c:pt idx="255">
                  <c:v>1.4882754246254626E-2</c:v>
                </c:pt>
                <c:pt idx="256">
                  <c:v>1.3231142606487591E-2</c:v>
                </c:pt>
                <c:pt idx="257">
                  <c:v>1.3231142606487591E-2</c:v>
                </c:pt>
                <c:pt idx="258">
                  <c:v>1.3231142606487591E-2</c:v>
                </c:pt>
                <c:pt idx="259">
                  <c:v>1.4859139132822665E-2</c:v>
                </c:pt>
                <c:pt idx="260">
                  <c:v>1.4859139132822665E-2</c:v>
                </c:pt>
                <c:pt idx="261">
                  <c:v>1.4859139132822665E-2</c:v>
                </c:pt>
                <c:pt idx="262">
                  <c:v>1.5644992290422672E-2</c:v>
                </c:pt>
                <c:pt idx="263">
                  <c:v>1.5644992290422672E-2</c:v>
                </c:pt>
                <c:pt idx="264">
                  <c:v>1.5644992290422672E-2</c:v>
                </c:pt>
                <c:pt idx="265">
                  <c:v>1.6180448648406801E-2</c:v>
                </c:pt>
                <c:pt idx="266">
                  <c:v>1.6180448648406801E-2</c:v>
                </c:pt>
                <c:pt idx="267">
                  <c:v>1.6180448648406801E-2</c:v>
                </c:pt>
                <c:pt idx="268">
                  <c:v>1.6129424733692631E-2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DD-D04E-8FB3-69D1D382B627}"/>
            </c:ext>
          </c:extLst>
        </c:ser>
        <c:ser>
          <c:idx val="3"/>
          <c:order val="3"/>
          <c:tx>
            <c:strRef>
              <c:f>'3.8.2 Exchange Risk - EUR'!$G$1</c:f>
              <c:strCache>
                <c:ptCount val="1"/>
                <c:pt idx="0">
                  <c:v>Account Balance Differential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'3.8.2 Exchange Risk - EUR'!$G$2:$G$270</c:f>
              <c:numCache>
                <c:formatCode>0.000</c:formatCode>
                <c:ptCount val="269"/>
                <c:pt idx="0">
                  <c:v>3.3429941000000005E-2</c:v>
                </c:pt>
                <c:pt idx="1">
                  <c:v>2.7781604000000001E-2</c:v>
                </c:pt>
                <c:pt idx="2">
                  <c:v>2.9669332999999999E-2</c:v>
                </c:pt>
                <c:pt idx="3">
                  <c:v>2.7484183499999995E-2</c:v>
                </c:pt>
                <c:pt idx="4">
                  <c:v>3.7513240999999996E-2</c:v>
                </c:pt>
                <c:pt idx="5">
                  <c:v>3.6850944849999998E-2</c:v>
                </c:pt>
                <c:pt idx="6">
                  <c:v>3.8125167187E-2</c:v>
                </c:pt>
                <c:pt idx="7">
                  <c:v>3.8496044779999995E-2</c:v>
                </c:pt>
                <c:pt idx="8">
                  <c:v>3.1347747000000002E-2</c:v>
                </c:pt>
                <c:pt idx="9">
                  <c:v>4.28344274E-2</c:v>
                </c:pt>
                <c:pt idx="10">
                  <c:v>4.30781264E-2</c:v>
                </c:pt>
                <c:pt idx="11">
                  <c:v>4.8503061399999998E-2</c:v>
                </c:pt>
                <c:pt idx="12">
                  <c:v>4.8660142300000001E-2</c:v>
                </c:pt>
                <c:pt idx="13">
                  <c:v>4.8694734999999996E-2</c:v>
                </c:pt>
                <c:pt idx="14">
                  <c:v>4.6798648400000004E-2</c:v>
                </c:pt>
                <c:pt idx="15">
                  <c:v>5.5325947000000007E-2</c:v>
                </c:pt>
                <c:pt idx="16">
                  <c:v>3.9926012000000004E-2</c:v>
                </c:pt>
                <c:pt idx="17">
                  <c:v>3.3149491000000003E-2</c:v>
                </c:pt>
                <c:pt idx="18">
                  <c:v>4.3145747000000005E-2</c:v>
                </c:pt>
                <c:pt idx="19">
                  <c:v>3.86184496E-2</c:v>
                </c:pt>
                <c:pt idx="20">
                  <c:v>4.5467451380000003E-2</c:v>
                </c:pt>
                <c:pt idx="21">
                  <c:v>4.7372610799999999E-2</c:v>
                </c:pt>
                <c:pt idx="22">
                  <c:v>4.3438465700000005E-2</c:v>
                </c:pt>
                <c:pt idx="23">
                  <c:v>5.1087358999999999E-2</c:v>
                </c:pt>
                <c:pt idx="24">
                  <c:v>5.5798818E-2</c:v>
                </c:pt>
                <c:pt idx="25">
                  <c:v>5.3506489999999997E-2</c:v>
                </c:pt>
                <c:pt idx="26">
                  <c:v>5.7101511000000001E-2</c:v>
                </c:pt>
                <c:pt idx="27">
                  <c:v>5.4971367000000007E-2</c:v>
                </c:pt>
                <c:pt idx="28">
                  <c:v>5.4665278999999997E-2</c:v>
                </c:pt>
                <c:pt idx="29">
                  <c:v>5.5044330399999994E-2</c:v>
                </c:pt>
                <c:pt idx="30">
                  <c:v>5.9994046000000002E-2</c:v>
                </c:pt>
                <c:pt idx="31">
                  <c:v>6.3603602999999995E-2</c:v>
                </c:pt>
                <c:pt idx="32">
                  <c:v>6.5652598000000006E-2</c:v>
                </c:pt>
                <c:pt idx="33">
                  <c:v>7.1725206E-2</c:v>
                </c:pt>
                <c:pt idx="34">
                  <c:v>6.4573379E-2</c:v>
                </c:pt>
                <c:pt idx="35">
                  <c:v>6.8181987999999999E-2</c:v>
                </c:pt>
                <c:pt idx="36">
                  <c:v>7.0009399E-2</c:v>
                </c:pt>
                <c:pt idx="37">
                  <c:v>6.2709112000000011E-2</c:v>
                </c:pt>
                <c:pt idx="38">
                  <c:v>7.6361913000000003E-2</c:v>
                </c:pt>
                <c:pt idx="39">
                  <c:v>7.2390129999999997E-2</c:v>
                </c:pt>
                <c:pt idx="40">
                  <c:v>7.2879402999999995E-2</c:v>
                </c:pt>
                <c:pt idx="41">
                  <c:v>6.1163127300000009E-2</c:v>
                </c:pt>
                <c:pt idx="42">
                  <c:v>6.7394935000000003E-2</c:v>
                </c:pt>
                <c:pt idx="43">
                  <c:v>6.5935752E-2</c:v>
                </c:pt>
                <c:pt idx="44">
                  <c:v>6.0325762200000001E-2</c:v>
                </c:pt>
                <c:pt idx="45">
                  <c:v>6.6585386999999996E-2</c:v>
                </c:pt>
                <c:pt idx="46">
                  <c:v>6.8129264000000009E-2</c:v>
                </c:pt>
                <c:pt idx="47">
                  <c:v>7.0467552000000003E-2</c:v>
                </c:pt>
                <c:pt idx="48">
                  <c:v>6.6017491999999997E-2</c:v>
                </c:pt>
                <c:pt idx="49">
                  <c:v>6.4911358700000005E-2</c:v>
                </c:pt>
                <c:pt idx="50">
                  <c:v>7.0947886000000002E-2</c:v>
                </c:pt>
                <c:pt idx="51">
                  <c:v>7.0758661E-2</c:v>
                </c:pt>
                <c:pt idx="52">
                  <c:v>7.2313602000000005E-2</c:v>
                </c:pt>
                <c:pt idx="53">
                  <c:v>7.2913482000000002E-2</c:v>
                </c:pt>
                <c:pt idx="54">
                  <c:v>6.3939358000000002E-2</c:v>
                </c:pt>
                <c:pt idx="55">
                  <c:v>6.0289141600000005E-2</c:v>
                </c:pt>
                <c:pt idx="56">
                  <c:v>7.1851405999999993E-2</c:v>
                </c:pt>
                <c:pt idx="57">
                  <c:v>6.8290054000000003E-2</c:v>
                </c:pt>
                <c:pt idx="58">
                  <c:v>7.4482696000000001E-2</c:v>
                </c:pt>
                <c:pt idx="59">
                  <c:v>7.2994034999999999E-2</c:v>
                </c:pt>
                <c:pt idx="60">
                  <c:v>7.8110098000000003E-2</c:v>
                </c:pt>
                <c:pt idx="61">
                  <c:v>7.6294077000000002E-2</c:v>
                </c:pt>
                <c:pt idx="62">
                  <c:v>7.3252732000000001E-2</c:v>
                </c:pt>
                <c:pt idx="63">
                  <c:v>6.8425550000000002E-2</c:v>
                </c:pt>
                <c:pt idx="64">
                  <c:v>7.5251196000000006E-2</c:v>
                </c:pt>
                <c:pt idx="65">
                  <c:v>7.3310916000000004E-2</c:v>
                </c:pt>
                <c:pt idx="66">
                  <c:v>5.9403397599999998E-2</c:v>
                </c:pt>
                <c:pt idx="67">
                  <c:v>7.3902479000000007E-2</c:v>
                </c:pt>
                <c:pt idx="68">
                  <c:v>6.7777588E-2</c:v>
                </c:pt>
                <c:pt idx="69">
                  <c:v>6.6705503999999999E-2</c:v>
                </c:pt>
                <c:pt idx="70">
                  <c:v>6.8736854999999999E-2</c:v>
                </c:pt>
                <c:pt idx="71">
                  <c:v>5.9681484999999999E-2</c:v>
                </c:pt>
                <c:pt idx="72">
                  <c:v>6.1184997999999997E-2</c:v>
                </c:pt>
                <c:pt idx="73">
                  <c:v>6.0608540999999995E-2</c:v>
                </c:pt>
                <c:pt idx="74">
                  <c:v>5.7633209999999997E-2</c:v>
                </c:pt>
                <c:pt idx="75">
                  <c:v>5.5222087999999996E-2</c:v>
                </c:pt>
                <c:pt idx="76">
                  <c:v>5.7335054999999996E-2</c:v>
                </c:pt>
                <c:pt idx="77">
                  <c:v>5.2035410000000004E-2</c:v>
                </c:pt>
                <c:pt idx="78">
                  <c:v>5.5121922599999998E-2</c:v>
                </c:pt>
                <c:pt idx="79">
                  <c:v>5.3490957200000001E-2</c:v>
                </c:pt>
                <c:pt idx="80">
                  <c:v>5.6083219599999998E-2</c:v>
                </c:pt>
                <c:pt idx="81">
                  <c:v>5.2289735999999996E-2</c:v>
                </c:pt>
                <c:pt idx="82">
                  <c:v>4.4478945999999998E-2</c:v>
                </c:pt>
                <c:pt idx="83">
                  <c:v>4.3457085800000003E-2</c:v>
                </c:pt>
                <c:pt idx="84">
                  <c:v>4.6736996340000003E-2</c:v>
                </c:pt>
                <c:pt idx="85">
                  <c:v>4.8481471599999999E-2</c:v>
                </c:pt>
                <c:pt idx="86">
                  <c:v>3.8920982000000007E-2</c:v>
                </c:pt>
                <c:pt idx="87">
                  <c:v>3.2784482600000005E-2</c:v>
                </c:pt>
                <c:pt idx="88">
                  <c:v>4.1464439700000001E-2</c:v>
                </c:pt>
                <c:pt idx="89">
                  <c:v>2.1352038999999996E-2</c:v>
                </c:pt>
                <c:pt idx="90">
                  <c:v>2.47667307E-2</c:v>
                </c:pt>
                <c:pt idx="91">
                  <c:v>2.5877314999999998E-2</c:v>
                </c:pt>
                <c:pt idx="92">
                  <c:v>3.2997989300000002E-2</c:v>
                </c:pt>
                <c:pt idx="93">
                  <c:v>3.5666807000000002E-2</c:v>
                </c:pt>
                <c:pt idx="94">
                  <c:v>3.1805967999999997E-2</c:v>
                </c:pt>
                <c:pt idx="95">
                  <c:v>5.3417744999999996E-2</c:v>
                </c:pt>
                <c:pt idx="96">
                  <c:v>3.6541372000000003E-2</c:v>
                </c:pt>
                <c:pt idx="97">
                  <c:v>3.4440198999999998E-2</c:v>
                </c:pt>
                <c:pt idx="98">
                  <c:v>4.3736964000000003E-2</c:v>
                </c:pt>
                <c:pt idx="99">
                  <c:v>4.1103246999999996E-2</c:v>
                </c:pt>
                <c:pt idx="100">
                  <c:v>5.0439380999999998E-2</c:v>
                </c:pt>
                <c:pt idx="101">
                  <c:v>3.2680111800000002E-2</c:v>
                </c:pt>
                <c:pt idx="102">
                  <c:v>3.2340885999999999E-2</c:v>
                </c:pt>
                <c:pt idx="103">
                  <c:v>3.5471487000000003E-2</c:v>
                </c:pt>
                <c:pt idx="104">
                  <c:v>4.9921252999999999E-2</c:v>
                </c:pt>
                <c:pt idx="105">
                  <c:v>3.3635715400000002E-2</c:v>
                </c:pt>
                <c:pt idx="106">
                  <c:v>3.8191500000000003E-2</c:v>
                </c:pt>
                <c:pt idx="107">
                  <c:v>4.7584473000000002E-2</c:v>
                </c:pt>
                <c:pt idx="108">
                  <c:v>3.9169661500000001E-2</c:v>
                </c:pt>
                <c:pt idx="109">
                  <c:v>4.4345361999999999E-2</c:v>
                </c:pt>
                <c:pt idx="110">
                  <c:v>4.5084231000000002E-2</c:v>
                </c:pt>
                <c:pt idx="111">
                  <c:v>3.5677007500000003E-2</c:v>
                </c:pt>
                <c:pt idx="112">
                  <c:v>3.7039142000000004E-2</c:v>
                </c:pt>
                <c:pt idx="113">
                  <c:v>3.5332774599999998E-2</c:v>
                </c:pt>
                <c:pt idx="114">
                  <c:v>3.4317792700000002E-2</c:v>
                </c:pt>
                <c:pt idx="115">
                  <c:v>3.9861944999999996E-2</c:v>
                </c:pt>
                <c:pt idx="116">
                  <c:v>3.7055142999999999E-2</c:v>
                </c:pt>
                <c:pt idx="117">
                  <c:v>3.4590885199999998E-2</c:v>
                </c:pt>
                <c:pt idx="118">
                  <c:v>4.2195237999999996E-2</c:v>
                </c:pt>
                <c:pt idx="119">
                  <c:v>4.2548142000000004E-2</c:v>
                </c:pt>
                <c:pt idx="120">
                  <c:v>4.2283253999999999E-2</c:v>
                </c:pt>
                <c:pt idx="121">
                  <c:v>4.9060503999999998E-2</c:v>
                </c:pt>
                <c:pt idx="122">
                  <c:v>4.5987214999999998E-2</c:v>
                </c:pt>
                <c:pt idx="123">
                  <c:v>4.6474080000000001E-2</c:v>
                </c:pt>
                <c:pt idx="124">
                  <c:v>4.9206400000000004E-2</c:v>
                </c:pt>
                <c:pt idx="125">
                  <c:v>4.1735938E-2</c:v>
                </c:pt>
                <c:pt idx="126">
                  <c:v>3.7489076999999996E-2</c:v>
                </c:pt>
                <c:pt idx="127">
                  <c:v>4.7659635999999998E-2</c:v>
                </c:pt>
                <c:pt idx="128">
                  <c:v>4.2738477000000004E-2</c:v>
                </c:pt>
                <c:pt idx="129">
                  <c:v>4.6026663000000002E-2</c:v>
                </c:pt>
                <c:pt idx="130">
                  <c:v>6.0936269999999994E-2</c:v>
                </c:pt>
                <c:pt idx="131">
                  <c:v>5.7004673999999998E-2</c:v>
                </c:pt>
                <c:pt idx="132">
                  <c:v>5.2384515E-2</c:v>
                </c:pt>
                <c:pt idx="133">
                  <c:v>4.9545138000000002E-2</c:v>
                </c:pt>
                <c:pt idx="134">
                  <c:v>5.1360664E-2</c:v>
                </c:pt>
                <c:pt idx="135">
                  <c:v>5.1970414999999992E-2</c:v>
                </c:pt>
                <c:pt idx="136">
                  <c:v>5.2284444999999999E-2</c:v>
                </c:pt>
                <c:pt idx="137">
                  <c:v>4.0909501000000008E-2</c:v>
                </c:pt>
                <c:pt idx="138">
                  <c:v>4.5294123000000006E-2</c:v>
                </c:pt>
                <c:pt idx="139">
                  <c:v>5.8503977000000006E-2</c:v>
                </c:pt>
                <c:pt idx="140">
                  <c:v>4.9091152999999998E-2</c:v>
                </c:pt>
                <c:pt idx="141">
                  <c:v>4.6696056000000007E-2</c:v>
                </c:pt>
                <c:pt idx="142">
                  <c:v>5.3391421000000001E-2</c:v>
                </c:pt>
                <c:pt idx="143">
                  <c:v>5.2829882000000002E-2</c:v>
                </c:pt>
                <c:pt idx="144">
                  <c:v>5.4364245000000005E-2</c:v>
                </c:pt>
                <c:pt idx="145">
                  <c:v>5.1817250000000002E-2</c:v>
                </c:pt>
                <c:pt idx="146">
                  <c:v>5.1564815999999992E-2</c:v>
                </c:pt>
                <c:pt idx="147">
                  <c:v>5.4561656E-2</c:v>
                </c:pt>
                <c:pt idx="148">
                  <c:v>5.1673284000000007E-2</c:v>
                </c:pt>
                <c:pt idx="149">
                  <c:v>4.5144202000000001E-2</c:v>
                </c:pt>
                <c:pt idx="150">
                  <c:v>4.3971789999999997E-2</c:v>
                </c:pt>
                <c:pt idx="151">
                  <c:v>5.0339679999999998E-2</c:v>
                </c:pt>
                <c:pt idx="152">
                  <c:v>4.7991310000000002E-2</c:v>
                </c:pt>
                <c:pt idx="153">
                  <c:v>4.9560634999999999E-2</c:v>
                </c:pt>
                <c:pt idx="154">
                  <c:v>5.4104448000000006E-2</c:v>
                </c:pt>
                <c:pt idx="155">
                  <c:v>5.3127423E-2</c:v>
                </c:pt>
                <c:pt idx="156">
                  <c:v>5.3705956999999999E-2</c:v>
                </c:pt>
                <c:pt idx="157">
                  <c:v>6.0172833000000009E-2</c:v>
                </c:pt>
                <c:pt idx="158">
                  <c:v>6.7930079000000004E-2</c:v>
                </c:pt>
                <c:pt idx="159">
                  <c:v>5.7966391999999999E-2</c:v>
                </c:pt>
                <c:pt idx="160">
                  <c:v>6.4666954999999998E-2</c:v>
                </c:pt>
                <c:pt idx="161">
                  <c:v>6.2429976999999998E-2</c:v>
                </c:pt>
                <c:pt idx="162">
                  <c:v>5.8472111E-2</c:v>
                </c:pt>
                <c:pt idx="163">
                  <c:v>5.9471948000000004E-2</c:v>
                </c:pt>
                <c:pt idx="164">
                  <c:v>4.4109104000000003E-2</c:v>
                </c:pt>
                <c:pt idx="165">
                  <c:v>5.1087675999999999E-2</c:v>
                </c:pt>
                <c:pt idx="166">
                  <c:v>5.4811194000000001E-2</c:v>
                </c:pt>
                <c:pt idx="167">
                  <c:v>7.1776119999999999E-2</c:v>
                </c:pt>
                <c:pt idx="168">
                  <c:v>5.7865413999999997E-2</c:v>
                </c:pt>
                <c:pt idx="169">
                  <c:v>6.3286202999999999E-2</c:v>
                </c:pt>
                <c:pt idx="170">
                  <c:v>5.6485545999999998E-2</c:v>
                </c:pt>
                <c:pt idx="171">
                  <c:v>5.3233473000000003E-2</c:v>
                </c:pt>
                <c:pt idx="172">
                  <c:v>4.9332756999999991E-2</c:v>
                </c:pt>
                <c:pt idx="173">
                  <c:v>6.1444627999999994E-2</c:v>
                </c:pt>
                <c:pt idx="174">
                  <c:v>6.0762988999999996E-2</c:v>
                </c:pt>
                <c:pt idx="175">
                  <c:v>6.6552147999999992E-2</c:v>
                </c:pt>
                <c:pt idx="176">
                  <c:v>6.404404000000001E-2</c:v>
                </c:pt>
                <c:pt idx="177">
                  <c:v>6.357169E-2</c:v>
                </c:pt>
                <c:pt idx="178">
                  <c:v>5.8664570000000006E-2</c:v>
                </c:pt>
                <c:pt idx="179">
                  <c:v>6.1591353000000001E-2</c:v>
                </c:pt>
                <c:pt idx="180">
                  <c:v>5.4992219999999994E-2</c:v>
                </c:pt>
                <c:pt idx="181">
                  <c:v>5.8231666000000001E-2</c:v>
                </c:pt>
                <c:pt idx="182">
                  <c:v>5.7298133000000001E-2</c:v>
                </c:pt>
                <c:pt idx="183">
                  <c:v>5.4207995999999994E-2</c:v>
                </c:pt>
                <c:pt idx="184">
                  <c:v>5.0468611000000003E-2</c:v>
                </c:pt>
                <c:pt idx="185">
                  <c:v>5.0648414000000003E-2</c:v>
                </c:pt>
                <c:pt idx="186">
                  <c:v>5.9911697999999999E-2</c:v>
                </c:pt>
                <c:pt idx="187">
                  <c:v>6.3283296000000003E-2</c:v>
                </c:pt>
                <c:pt idx="188">
                  <c:v>3.2418765000000002E-2</c:v>
                </c:pt>
                <c:pt idx="189">
                  <c:v>3.7959501E-2</c:v>
                </c:pt>
                <c:pt idx="190">
                  <c:v>4.2771856000000004E-2</c:v>
                </c:pt>
                <c:pt idx="191">
                  <c:v>5.8161244000000008E-2</c:v>
                </c:pt>
                <c:pt idx="192">
                  <c:v>6.5596044000000006E-2</c:v>
                </c:pt>
                <c:pt idx="193">
                  <c:v>6.6273864000000002E-2</c:v>
                </c:pt>
                <c:pt idx="194">
                  <c:v>6.4384788999999998E-2</c:v>
                </c:pt>
                <c:pt idx="195">
                  <c:v>6.5101395999999992E-2</c:v>
                </c:pt>
                <c:pt idx="196">
                  <c:v>6.6180316000000003E-2</c:v>
                </c:pt>
                <c:pt idx="197">
                  <c:v>6.7129312999999996E-2</c:v>
                </c:pt>
                <c:pt idx="198">
                  <c:v>6.290965200000001E-2</c:v>
                </c:pt>
                <c:pt idx="199">
                  <c:v>6.6541873000000001E-2</c:v>
                </c:pt>
                <c:pt idx="200">
                  <c:v>5.6636261999999993E-2</c:v>
                </c:pt>
                <c:pt idx="201">
                  <c:v>5.5978106E-2</c:v>
                </c:pt>
                <c:pt idx="202">
                  <c:v>6.1390601000000003E-2</c:v>
                </c:pt>
                <c:pt idx="203">
                  <c:v>6.0347073000000001E-2</c:v>
                </c:pt>
                <c:pt idx="204">
                  <c:v>6.7440550000000002E-2</c:v>
                </c:pt>
                <c:pt idx="205">
                  <c:v>6.2109375999999994E-2</c:v>
                </c:pt>
                <c:pt idx="206">
                  <c:v>5.3609949999999996E-2</c:v>
                </c:pt>
                <c:pt idx="207">
                  <c:v>4.9729136E-2</c:v>
                </c:pt>
                <c:pt idx="208">
                  <c:v>5.0400592999999994E-2</c:v>
                </c:pt>
                <c:pt idx="209">
                  <c:v>6.6497228000000005E-2</c:v>
                </c:pt>
                <c:pt idx="210">
                  <c:v>6.1829235000000003E-2</c:v>
                </c:pt>
                <c:pt idx="211">
                  <c:v>7.0604898999999999E-2</c:v>
                </c:pt>
                <c:pt idx="212">
                  <c:v>3.7204176999999998E-2</c:v>
                </c:pt>
                <c:pt idx="213">
                  <c:v>4.6112165999999996E-2</c:v>
                </c:pt>
                <c:pt idx="214">
                  <c:v>4.4088738000000002E-2</c:v>
                </c:pt>
                <c:pt idx="215">
                  <c:v>6.1840046999999988E-2</c:v>
                </c:pt>
                <c:pt idx="216">
                  <c:v>6.668597200000001E-2</c:v>
                </c:pt>
                <c:pt idx="217">
                  <c:v>6.2089911999999997E-2</c:v>
                </c:pt>
                <c:pt idx="218">
                  <c:v>3.6669976E-2</c:v>
                </c:pt>
                <c:pt idx="219">
                  <c:v>3.4587512000000001E-2</c:v>
                </c:pt>
                <c:pt idx="220">
                  <c:v>3.3545316999999998E-2</c:v>
                </c:pt>
                <c:pt idx="221">
                  <c:v>2.2334659399999998E-2</c:v>
                </c:pt>
                <c:pt idx="222">
                  <c:v>3.263804E-2</c:v>
                </c:pt>
                <c:pt idx="223">
                  <c:v>2.698509E-2</c:v>
                </c:pt>
                <c:pt idx="224">
                  <c:v>4.0878827999999999E-2</c:v>
                </c:pt>
                <c:pt idx="225">
                  <c:v>4.6097433E-2</c:v>
                </c:pt>
                <c:pt idx="226">
                  <c:v>5.6818089000000002E-2</c:v>
                </c:pt>
                <c:pt idx="227">
                  <c:v>6.4330113000000008E-2</c:v>
                </c:pt>
                <c:pt idx="228">
                  <c:v>6.4157204999999995E-2</c:v>
                </c:pt>
                <c:pt idx="229">
                  <c:v>6.3335413999999993E-2</c:v>
                </c:pt>
                <c:pt idx="230">
                  <c:v>7.2247801E-2</c:v>
                </c:pt>
                <c:pt idx="231">
                  <c:v>6.8107228000000006E-2</c:v>
                </c:pt>
                <c:pt idx="232">
                  <c:v>6.7417932999999999E-2</c:v>
                </c:pt>
                <c:pt idx="233">
                  <c:v>7.991165900000001E-2</c:v>
                </c:pt>
                <c:pt idx="234">
                  <c:v>7.9835169000000011E-2</c:v>
                </c:pt>
                <c:pt idx="235">
                  <c:v>8.1005628999999996E-2</c:v>
                </c:pt>
                <c:pt idx="236">
                  <c:v>8.1588203999999998E-2</c:v>
                </c:pt>
                <c:pt idx="237">
                  <c:v>7.6978681000000007E-2</c:v>
                </c:pt>
                <c:pt idx="238">
                  <c:v>7.7615013999999996E-2</c:v>
                </c:pt>
                <c:pt idx="239">
                  <c:v>8.306390700000002E-2</c:v>
                </c:pt>
                <c:pt idx="240">
                  <c:v>7.9700474000000007E-2</c:v>
                </c:pt>
                <c:pt idx="241">
                  <c:v>8.0466830999999989E-2</c:v>
                </c:pt>
                <c:pt idx="242">
                  <c:v>6.5522483000000006E-2</c:v>
                </c:pt>
                <c:pt idx="243">
                  <c:v>6.3239900000000002E-2</c:v>
                </c:pt>
                <c:pt idx="244">
                  <c:v>5.0360714000000001E-2</c:v>
                </c:pt>
                <c:pt idx="245">
                  <c:v>7.3842634000000004E-2</c:v>
                </c:pt>
                <c:pt idx="246">
                  <c:v>7.4751136999999995E-2</c:v>
                </c:pt>
                <c:pt idx="247">
                  <c:v>6.1298910999999998E-2</c:v>
                </c:pt>
                <c:pt idx="248">
                  <c:v>4.3313469E-2</c:v>
                </c:pt>
                <c:pt idx="249">
                  <c:v>4.9104639700000001E-2</c:v>
                </c:pt>
                <c:pt idx="250">
                  <c:v>4.5651092000000004E-2</c:v>
                </c:pt>
                <c:pt idx="251">
                  <c:v>3.1427355800000001E-2</c:v>
                </c:pt>
                <c:pt idx="252">
                  <c:v>3.0058487400000004E-2</c:v>
                </c:pt>
                <c:pt idx="253">
                  <c:v>3.8722440600000005E-2</c:v>
                </c:pt>
                <c:pt idx="254">
                  <c:v>5.3293388000000004E-2</c:v>
                </c:pt>
                <c:pt idx="255">
                  <c:v>5.3358743000000007E-2</c:v>
                </c:pt>
                <c:pt idx="256">
                  <c:v>4.7194262000000001E-2</c:v>
                </c:pt>
                <c:pt idx="257">
                  <c:v>5.0813262999999997E-2</c:v>
                </c:pt>
                <c:pt idx="258">
                  <c:v>6.0187085000000001E-2</c:v>
                </c:pt>
                <c:pt idx="259">
                  <c:v>6.2137317000000004E-2</c:v>
                </c:pt>
                <c:pt idx="260">
                  <c:v>5.1877805000000006E-2</c:v>
                </c:pt>
                <c:pt idx="261">
                  <c:v>5.8127662999999996E-2</c:v>
                </c:pt>
                <c:pt idx="262">
                  <c:v>5.9943802000000004E-2</c:v>
                </c:pt>
                <c:pt idx="263">
                  <c:v>5.7358117E-2</c:v>
                </c:pt>
                <c:pt idx="264">
                  <c:v>6.7689816999999999E-2</c:v>
                </c:pt>
                <c:pt idx="265">
                  <c:v>6.4565945E-2</c:v>
                </c:pt>
                <c:pt idx="266">
                  <c:v>6.3447706000000006E-2</c:v>
                </c:pt>
                <c:pt idx="267">
                  <c:v>6.8470158000000003E-2</c:v>
                </c:pt>
                <c:pt idx="268">
                  <c:v>6.5324900000000005E-2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DD-D04E-8FB3-69D1D382B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117280"/>
        <c:axId val="1928772080"/>
      </c:lineChart>
      <c:dateAx>
        <c:axId val="19291172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8772080"/>
        <c:crosses val="autoZero"/>
        <c:auto val="1"/>
        <c:lblOffset val="100"/>
        <c:baseTimeUnit val="months"/>
      </c:dateAx>
      <c:valAx>
        <c:axId val="19287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911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23</xdr:row>
      <xdr:rowOff>88900</xdr:rowOff>
    </xdr:from>
    <xdr:to>
      <xdr:col>13</xdr:col>
      <xdr:colOff>762000</xdr:colOff>
      <xdr:row>42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8F935-46E6-5E14-9500-14261ABB9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23</xdr:row>
      <xdr:rowOff>38100</xdr:rowOff>
    </xdr:from>
    <xdr:to>
      <xdr:col>13</xdr:col>
      <xdr:colOff>882695</xdr:colOff>
      <xdr:row>42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120D3-12B2-D639-6779-BD8880E9C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816A-B1F9-E444-A122-31A6BF8F190E}">
  <dimension ref="A1:Q270"/>
  <sheetViews>
    <sheetView tabSelected="1" workbookViewId="0">
      <selection activeCell="P29" sqref="P29"/>
    </sheetView>
  </sheetViews>
  <sheetFormatPr baseColWidth="10" defaultRowHeight="16" x14ac:dyDescent="0.2"/>
  <cols>
    <col min="1" max="1" width="16.6640625" customWidth="1"/>
    <col min="2" max="2" width="20.1640625" bestFit="1" customWidth="1"/>
    <col min="3" max="3" width="16.5" bestFit="1" customWidth="1"/>
    <col min="4" max="4" width="16.6640625" bestFit="1" customWidth="1"/>
    <col min="5" max="5" width="22" bestFit="1" customWidth="1"/>
    <col min="6" max="6" width="22.5" bestFit="1" customWidth="1"/>
    <col min="7" max="7" width="24.83203125" bestFit="1" customWidth="1"/>
    <col min="9" max="9" width="24.83203125" bestFit="1" customWidth="1"/>
    <col min="11" max="11" width="13.5" bestFit="1" customWidth="1"/>
    <col min="14" max="14" width="13" bestFit="1" customWidth="1"/>
  </cols>
  <sheetData>
    <row r="1" spans="1:17" x14ac:dyDescent="0.2">
      <c r="A1" s="1" t="s">
        <v>0</v>
      </c>
      <c r="B1" t="s">
        <v>31</v>
      </c>
      <c r="C1" t="s">
        <v>57</v>
      </c>
      <c r="D1" t="s">
        <v>58</v>
      </c>
      <c r="E1" t="str" cm="1">
        <f t="array" ref="E1:G270">'3.8 Data - CAD#USD '!J2:L271</f>
        <v>Interest Rate Differential</v>
      </c>
      <c r="F1" t="str">
        <v>Inflation Rate Differential</v>
      </c>
      <c r="G1" t="str">
        <v>Account Balance Differential</v>
      </c>
      <c r="I1" t="s">
        <v>5</v>
      </c>
    </row>
    <row r="2" spans="1:17" ht="17" thickBot="1" x14ac:dyDescent="0.25">
      <c r="A2" s="2">
        <v>37134</v>
      </c>
      <c r="C2" s="8">
        <f>'3.8 Data - CAD#USD '!F3/100</f>
        <v>1.4604126718621683E-2</v>
      </c>
      <c r="D2" s="8">
        <f>'3.8 Data - CAD#USD '!G3/100</f>
        <v>1.2591457214265E-2</v>
      </c>
      <c r="E2" s="8">
        <v>5.5960460000000012E-3</v>
      </c>
      <c r="F2" s="8">
        <v>1.0574450000000013E-3</v>
      </c>
      <c r="G2" s="8">
        <v>5.3440441999999998E-2</v>
      </c>
    </row>
    <row r="3" spans="1:17" x14ac:dyDescent="0.2">
      <c r="A3" s="2">
        <v>37164</v>
      </c>
      <c r="B3" s="8">
        <f>'Final Data'!I3</f>
        <v>5.2900722976549348E-4</v>
      </c>
      <c r="C3" s="8">
        <f>'3.8 Data - CAD#USD '!F4/100</f>
        <v>1.2615182211341749E-2</v>
      </c>
      <c r="D3" s="8">
        <f>'3.8 Data - CAD#USD '!G4/100</f>
        <v>1.1419699523748111E-2</v>
      </c>
      <c r="E3" s="8">
        <v>5.8199999999999988E-3</v>
      </c>
      <c r="F3" s="8">
        <v>1.4710900000000304E-4</v>
      </c>
      <c r="G3" s="8">
        <v>5.3440440999999998E-2</v>
      </c>
      <c r="I3" s="7" t="s">
        <v>6</v>
      </c>
      <c r="J3" s="7"/>
    </row>
    <row r="4" spans="1:17" x14ac:dyDescent="0.2">
      <c r="A4" s="2">
        <v>37195</v>
      </c>
      <c r="B4" s="8">
        <f>'Final Data'!I4</f>
        <v>1.2160733168840284E-2</v>
      </c>
      <c r="C4" s="8">
        <f>'3.8 Data - CAD#USD '!F5/100</f>
        <v>1.2615182211341749E-2</v>
      </c>
      <c r="D4" s="8">
        <f>'3.8 Data - CAD#USD '!G5/100</f>
        <v>1.1419699523748111E-2</v>
      </c>
      <c r="E4" s="8">
        <v>6.6794550000000008E-3</v>
      </c>
      <c r="F4" s="8">
        <v>-2.5851420000000003E-3</v>
      </c>
      <c r="G4" s="8">
        <v>4.4425445000000001E-2</v>
      </c>
      <c r="I4" t="s">
        <v>7</v>
      </c>
      <c r="J4" s="8">
        <v>0.22473417659693248</v>
      </c>
    </row>
    <row r="5" spans="1:17" x14ac:dyDescent="0.2">
      <c r="A5" s="2">
        <v>37225</v>
      </c>
      <c r="B5" s="8">
        <f>'Final Data'!I5</f>
        <v>1.1056938882117326E-2</v>
      </c>
      <c r="C5" s="8">
        <f>'3.8 Data - CAD#USD '!F6/100</f>
        <v>1.2615182211341749E-2</v>
      </c>
      <c r="D5" s="8">
        <f>'3.8 Data - CAD#USD '!G6/100</f>
        <v>1.1419699523748111E-2</v>
      </c>
      <c r="E5" s="8">
        <v>5.2633189999999972E-3</v>
      </c>
      <c r="F5" s="8">
        <v>-1.274548E-2</v>
      </c>
      <c r="G5" s="8">
        <v>4.4425445000000001E-2</v>
      </c>
      <c r="I5" t="s">
        <v>8</v>
      </c>
      <c r="J5" s="8">
        <v>5.0505450130701235E-2</v>
      </c>
    </row>
    <row r="6" spans="1:17" x14ac:dyDescent="0.2">
      <c r="A6" s="2">
        <v>37256</v>
      </c>
      <c r="B6" s="8">
        <f>'Final Data'!I6</f>
        <v>5.3388443985189406E-3</v>
      </c>
      <c r="C6" s="8">
        <f>'3.8 Data - CAD#USD '!F7/100</f>
        <v>1.3412487616473517E-2</v>
      </c>
      <c r="D6" s="8">
        <f>'3.8 Data - CAD#USD '!G7/100</f>
        <v>1.0529205763641197E-2</v>
      </c>
      <c r="E6" s="8">
        <v>3.2092089999999993E-3</v>
      </c>
      <c r="F6" s="8">
        <v>-8.8200604999999991E-3</v>
      </c>
      <c r="G6" s="8">
        <v>4.4425445000000001E-2</v>
      </c>
      <c r="I6" t="s">
        <v>9</v>
      </c>
      <c r="J6" s="22">
        <v>3.2385325133195531E-2</v>
      </c>
    </row>
    <row r="7" spans="1:17" x14ac:dyDescent="0.2">
      <c r="A7" s="2">
        <v>37287</v>
      </c>
      <c r="B7" s="8">
        <f>'Final Data'!I7</f>
        <v>2.989293361884364E-2</v>
      </c>
      <c r="C7" s="8">
        <f>'3.8 Data - CAD#USD '!F8/100</f>
        <v>1.3412487616473517E-2</v>
      </c>
      <c r="D7" s="8">
        <f>'3.8 Data - CAD#USD '!G8/100</f>
        <v>1.0529205763641197E-2</v>
      </c>
      <c r="E7" s="8">
        <v>3.1000000000000051E-3</v>
      </c>
      <c r="F7" s="8">
        <v>1.4708160000000015E-3</v>
      </c>
      <c r="G7" s="8">
        <v>6.252772999999999E-2</v>
      </c>
      <c r="I7" t="s">
        <v>10</v>
      </c>
      <c r="J7" s="8">
        <v>2.2019905922016973E-2</v>
      </c>
    </row>
    <row r="8" spans="1:17" ht="17" thickBot="1" x14ac:dyDescent="0.25">
      <c r="A8" s="2">
        <v>37315</v>
      </c>
      <c r="B8" s="8">
        <f>'Final Data'!I8</f>
        <v>-8.9820359281436984E-3</v>
      </c>
      <c r="C8" s="8">
        <f>'3.8 Data - CAD#USD '!F9/100</f>
        <v>1.3412487616473517E-2</v>
      </c>
      <c r="D8" s="8">
        <f>'3.8 Data - CAD#USD '!G9/100</f>
        <v>1.0529205763641197E-2</v>
      </c>
      <c r="E8" s="8">
        <v>4.1000100000000029E-3</v>
      </c>
      <c r="F8" s="8">
        <v>4.1162559999999978E-3</v>
      </c>
      <c r="G8" s="8">
        <v>6.2527728000000005E-2</v>
      </c>
      <c r="I8" s="5" t="s">
        <v>11</v>
      </c>
      <c r="J8" s="5">
        <v>268</v>
      </c>
    </row>
    <row r="9" spans="1:17" x14ac:dyDescent="0.2">
      <c r="A9" s="2">
        <v>37346</v>
      </c>
      <c r="B9" s="8">
        <f>'Final Data'!I9</f>
        <v>-4.5317220543805983E-3</v>
      </c>
      <c r="C9" s="8">
        <f>'3.8 Data - CAD#USD '!F10/100</f>
        <v>1.4917686008941531E-2</v>
      </c>
      <c r="D9" s="8">
        <f>'3.8 Data - CAD#USD '!G10/100</f>
        <v>1.3270984666617316E-2</v>
      </c>
      <c r="E9" s="8">
        <v>3.8300059999999991E-3</v>
      </c>
      <c r="F9" s="8">
        <v>3.8790999999999999E-3</v>
      </c>
      <c r="G9" s="8">
        <v>6.2527728000000005E-2</v>
      </c>
    </row>
    <row r="10" spans="1:17" ht="17" thickBot="1" x14ac:dyDescent="0.25">
      <c r="A10" s="2">
        <v>37376</v>
      </c>
      <c r="B10" s="8">
        <f>'Final Data'!I10</f>
        <v>-2.8915865789917439E-2</v>
      </c>
      <c r="C10" s="8">
        <f>'3.8 Data - CAD#USD '!F11/100</f>
        <v>1.4917686008941531E-2</v>
      </c>
      <c r="D10" s="8">
        <f>'3.8 Data - CAD#USD '!G11/100</f>
        <v>1.3270984666617316E-2</v>
      </c>
      <c r="E10" s="8">
        <v>4.4772720000000009E-3</v>
      </c>
      <c r="F10" s="8">
        <v>9.4252499999999853E-4</v>
      </c>
      <c r="G10" s="8">
        <v>6.0764595000000005E-2</v>
      </c>
      <c r="I10" t="s">
        <v>12</v>
      </c>
    </row>
    <row r="11" spans="1:17" x14ac:dyDescent="0.2">
      <c r="A11" s="2">
        <v>37407</v>
      </c>
      <c r="B11" s="8">
        <f>'Final Data'!I11</f>
        <v>-2.9342824897994578E-2</v>
      </c>
      <c r="C11" s="8">
        <f>'3.8 Data - CAD#USD '!F12/100</f>
        <v>1.4917686008941531E-2</v>
      </c>
      <c r="D11" s="8">
        <f>'3.8 Data - CAD#USD '!G12/100</f>
        <v>1.3270984666617316E-2</v>
      </c>
      <c r="E11" s="8">
        <v>4.3164400000000039E-3</v>
      </c>
      <c r="F11" s="8">
        <v>-2.2456800000000012E-3</v>
      </c>
      <c r="G11" s="8">
        <v>6.0764595000000005E-2</v>
      </c>
      <c r="I11" s="6"/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</row>
    <row r="12" spans="1:17" x14ac:dyDescent="0.2">
      <c r="A12" s="2">
        <v>37437</v>
      </c>
      <c r="B12" s="8">
        <f>'Final Data'!I12</f>
        <v>-5.0979339951703805E-2</v>
      </c>
      <c r="C12" s="8">
        <f>'3.8 Data - CAD#USD '!F13/100</f>
        <v>1.5328481556749186E-2</v>
      </c>
      <c r="D12" s="8">
        <f>'3.8 Data - CAD#USD '!G13/100</f>
        <v>1.324840982459214E-2</v>
      </c>
      <c r="E12" s="8">
        <v>4.9750169999999991E-3</v>
      </c>
      <c r="F12" s="8">
        <v>1.5029720000000002E-3</v>
      </c>
      <c r="G12" s="8">
        <v>6.0764595000000005E-2</v>
      </c>
      <c r="I12" t="s">
        <v>13</v>
      </c>
      <c r="J12">
        <v>5</v>
      </c>
      <c r="K12" s="8">
        <v>6.7573743590277902E-3</v>
      </c>
      <c r="L12" s="8">
        <v>1.3514748718055579E-3</v>
      </c>
      <c r="M12" s="8">
        <v>2.7872572698948535</v>
      </c>
      <c r="N12" s="22">
        <v>1.7952287424825374E-2</v>
      </c>
    </row>
    <row r="13" spans="1:17" x14ac:dyDescent="0.2">
      <c r="A13" s="2">
        <v>37468</v>
      </c>
      <c r="B13" s="8">
        <f>'Final Data'!I13</f>
        <v>1.2251437187823929E-2</v>
      </c>
      <c r="C13" s="8">
        <f>'3.8 Data - CAD#USD '!F14/100</f>
        <v>1.5328481556749186E-2</v>
      </c>
      <c r="D13" s="8">
        <f>'3.8 Data - CAD#USD '!G14/100</f>
        <v>1.324840982459214E-2</v>
      </c>
      <c r="E13" s="8">
        <v>6.339605000000006E-3</v>
      </c>
      <c r="F13" s="8">
        <v>7.7699679999999986E-3</v>
      </c>
      <c r="G13" s="8">
        <v>5.5863964000000002E-2</v>
      </c>
      <c r="I13" t="s">
        <v>14</v>
      </c>
      <c r="J13">
        <v>262</v>
      </c>
      <c r="K13" s="8">
        <v>0.12703757928539325</v>
      </c>
      <c r="L13" s="8">
        <v>4.8487625681447807E-4</v>
      </c>
      <c r="M13" s="8"/>
      <c r="N13" s="8"/>
    </row>
    <row r="14" spans="1:17" ht="17" thickBot="1" x14ac:dyDescent="0.25">
      <c r="A14" s="2">
        <v>37499</v>
      </c>
      <c r="B14" s="8">
        <f>'Final Data'!I14</f>
        <v>-4.0033516432361289E-3</v>
      </c>
      <c r="C14" s="8">
        <f>'3.8 Data - CAD#USD '!F15/100</f>
        <v>1.5328481556749186E-2</v>
      </c>
      <c r="D14" s="8">
        <f>'3.8 Data - CAD#USD '!G15/100</f>
        <v>1.324840982459214E-2</v>
      </c>
      <c r="E14" s="8">
        <v>8.6320349999999997E-3</v>
      </c>
      <c r="F14" s="8">
        <v>7.9835199999999974E-3</v>
      </c>
      <c r="G14" s="8">
        <v>5.5863963000000003E-2</v>
      </c>
      <c r="I14" s="5" t="s">
        <v>15</v>
      </c>
      <c r="J14" s="5">
        <v>267</v>
      </c>
      <c r="K14" s="10">
        <v>0.13379495364442104</v>
      </c>
      <c r="L14" s="10"/>
      <c r="M14" s="10"/>
      <c r="N14" s="10"/>
    </row>
    <row r="15" spans="1:17" ht="17" thickBot="1" x14ac:dyDescent="0.25">
      <c r="A15" s="2">
        <v>37529</v>
      </c>
      <c r="B15" s="8">
        <f>'Final Data'!I15</f>
        <v>-1.0282295756216062E-3</v>
      </c>
      <c r="C15" s="8">
        <f>'3.8 Data - CAD#USD '!F16/100</f>
        <v>1.6584650493989432E-2</v>
      </c>
      <c r="D15" s="8">
        <f>'3.8 Data - CAD#USD '!G16/100</f>
        <v>1.4653559921838923E-2</v>
      </c>
      <c r="E15" s="8">
        <v>1.0155002999999998E-2</v>
      </c>
      <c r="F15" s="8">
        <v>9.2303529999999984E-3</v>
      </c>
      <c r="G15" s="8">
        <v>5.5863964000000002E-2</v>
      </c>
    </row>
    <row r="16" spans="1:17" x14ac:dyDescent="0.2">
      <c r="A16" s="2">
        <v>37560</v>
      </c>
      <c r="B16" s="8">
        <f>'Final Data'!I16</f>
        <v>-2.1521474688874706E-3</v>
      </c>
      <c r="C16" s="8">
        <f>'3.8 Data - CAD#USD '!F17/100</f>
        <v>1.6584650493989432E-2</v>
      </c>
      <c r="D16" s="8">
        <f>'3.8 Data - CAD#USD '!G17/100</f>
        <v>1.4653559921838923E-2</v>
      </c>
      <c r="E16" s="8">
        <v>1.1911859999999996E-2</v>
      </c>
      <c r="F16" s="8">
        <v>1.2349706999999998E-2</v>
      </c>
      <c r="G16" s="8">
        <v>5.7476415000000003E-2</v>
      </c>
      <c r="I16" s="6"/>
      <c r="J16" s="6" t="s">
        <v>22</v>
      </c>
      <c r="K16" s="6" t="s">
        <v>10</v>
      </c>
      <c r="L16" s="6" t="s">
        <v>23</v>
      </c>
      <c r="M16" s="6" t="s">
        <v>24</v>
      </c>
      <c r="N16" s="6" t="s">
        <v>25</v>
      </c>
      <c r="O16" s="6" t="s">
        <v>26</v>
      </c>
      <c r="P16" s="6" t="s">
        <v>27</v>
      </c>
      <c r="Q16" s="6" t="s">
        <v>28</v>
      </c>
    </row>
    <row r="17" spans="1:17" x14ac:dyDescent="0.2">
      <c r="A17" s="2">
        <v>37590</v>
      </c>
      <c r="B17" s="8">
        <f>'Final Data'!I17</f>
        <v>-2.1567891972993623E-3</v>
      </c>
      <c r="C17" s="8">
        <f>'3.8 Data - CAD#USD '!F18/100</f>
        <v>1.6584650493989432E-2</v>
      </c>
      <c r="D17" s="8">
        <f>'3.8 Data - CAD#USD '!G18/100</f>
        <v>1.4653559921838923E-2</v>
      </c>
      <c r="E17" s="8">
        <v>1.0478155999999999E-2</v>
      </c>
      <c r="F17" s="8">
        <v>2.0585931999999998E-2</v>
      </c>
      <c r="G17" s="8">
        <v>5.7476415000000003E-2</v>
      </c>
      <c r="I17" t="s">
        <v>16</v>
      </c>
      <c r="J17" s="8">
        <v>-3.500353194543923E-3</v>
      </c>
      <c r="K17" s="8">
        <v>2.8113504539967146E-3</v>
      </c>
      <c r="L17" s="8">
        <v>-1.2450789226820504</v>
      </c>
      <c r="M17" s="8">
        <v>0.21421519669114791</v>
      </c>
      <c r="N17" s="8">
        <v>-9.036070118977035E-3</v>
      </c>
      <c r="O17" s="8">
        <v>2.0353637298891887E-3</v>
      </c>
      <c r="P17" s="8">
        <v>-9.036070118977035E-3</v>
      </c>
      <c r="Q17" s="8">
        <v>2.0353637298891887E-3</v>
      </c>
    </row>
    <row r="18" spans="1:17" x14ac:dyDescent="0.2">
      <c r="A18" s="2">
        <v>37621</v>
      </c>
      <c r="B18" s="8">
        <f>'Final Data'!I18</f>
        <v>-4.2853115308711609E-2</v>
      </c>
      <c r="C18" s="8">
        <f>'3.8 Data - CAD#USD '!F19/100</f>
        <v>1.6521399109968117E-2</v>
      </c>
      <c r="D18" s="8">
        <f>'3.8 Data - CAD#USD '!G19/100</f>
        <v>1.4410507056385571E-2</v>
      </c>
      <c r="E18" s="8">
        <v>9.3511870000000039E-3</v>
      </c>
      <c r="F18" s="8">
        <v>1.4091947000000001E-2</v>
      </c>
      <c r="G18" s="8">
        <v>5.7476415000000003E-2</v>
      </c>
      <c r="I18" t="str">
        <f>C1</f>
        <v>GDP Growth - CAD</v>
      </c>
      <c r="J18" s="22">
        <v>0.105426280171017</v>
      </c>
      <c r="K18" s="8">
        <v>0.36264396946005634</v>
      </c>
      <c r="L18" s="8">
        <v>0.29071565791646026</v>
      </c>
      <c r="M18" s="22">
        <v>0.7714987851428724</v>
      </c>
      <c r="N18" s="8">
        <v>-0.60864135107350248</v>
      </c>
      <c r="O18" s="8">
        <v>0.81949391141553651</v>
      </c>
      <c r="P18" s="8">
        <v>-0.60864135107350248</v>
      </c>
      <c r="Q18" s="8">
        <v>0.81949391141553651</v>
      </c>
    </row>
    <row r="19" spans="1:17" x14ac:dyDescent="0.2">
      <c r="A19" s="2">
        <v>37652</v>
      </c>
      <c r="B19" s="8">
        <f>'Final Data'!I19</f>
        <v>-1.9047619047619025E-2</v>
      </c>
      <c r="C19" s="8">
        <f>'3.8 Data - CAD#USD '!F20/100</f>
        <v>1.6521399109968117E-2</v>
      </c>
      <c r="D19" s="8">
        <f>'3.8 Data - CAD#USD '!G20/100</f>
        <v>1.4410507056385571E-2</v>
      </c>
      <c r="E19" s="8">
        <v>9.1523749999999991E-3</v>
      </c>
      <c r="F19" s="8">
        <v>1.6258307000000003E-2</v>
      </c>
      <c r="G19" s="8">
        <v>6.0118679000000001E-2</v>
      </c>
      <c r="I19" t="str">
        <f>D1</f>
        <v>GDP Growth - USD</v>
      </c>
      <c r="J19" s="22">
        <v>0.24446981591832845</v>
      </c>
      <c r="K19" s="8">
        <v>0.40193939013113994</v>
      </c>
      <c r="L19" s="8">
        <v>0.60822557311082592</v>
      </c>
      <c r="M19" s="22">
        <v>0.54356477486946586</v>
      </c>
      <c r="N19" s="8">
        <v>-0.54697284516368083</v>
      </c>
      <c r="O19" s="8">
        <v>1.0359124770003376</v>
      </c>
      <c r="P19" s="8">
        <v>-0.54697284516368083</v>
      </c>
      <c r="Q19" s="8">
        <v>1.0359124770003376</v>
      </c>
    </row>
    <row r="20" spans="1:17" x14ac:dyDescent="0.2">
      <c r="A20" s="2">
        <v>37680</v>
      </c>
      <c r="B20" s="8">
        <f>'Final Data'!I20</f>
        <v>-2.001801621459342E-3</v>
      </c>
      <c r="C20" s="8">
        <f>'3.8 Data - CAD#USD '!F21/100</f>
        <v>1.6521399109968117E-2</v>
      </c>
      <c r="D20" s="8">
        <f>'3.8 Data - CAD#USD '!G21/100</f>
        <v>1.4410507056385571E-2</v>
      </c>
      <c r="E20" s="8">
        <v>1.1078951999999998E-2</v>
      </c>
      <c r="F20" s="8">
        <v>1.4271092000000003E-2</v>
      </c>
      <c r="G20" s="8">
        <v>6.0118678000000002E-2</v>
      </c>
      <c r="I20" t="str">
        <f>E1</f>
        <v>Interest Rate Differential</v>
      </c>
      <c r="J20" s="22">
        <v>1.1387074148381178E-2</v>
      </c>
      <c r="K20" s="8">
        <v>0.35217512728670086</v>
      </c>
      <c r="L20" s="8">
        <v>3.2333555853622561E-2</v>
      </c>
      <c r="M20" s="22">
        <v>0.97423066736545572</v>
      </c>
      <c r="N20" s="8">
        <v>-0.68206678170720536</v>
      </c>
      <c r="O20" s="8">
        <v>0.70484093000396764</v>
      </c>
      <c r="P20" s="8">
        <v>-0.68206678170720536</v>
      </c>
      <c r="Q20" s="8">
        <v>0.70484093000396764</v>
      </c>
    </row>
    <row r="21" spans="1:17" x14ac:dyDescent="0.2">
      <c r="A21" s="2">
        <v>37711</v>
      </c>
      <c r="B21" s="8">
        <f>'Final Data'!I21</f>
        <v>-6.518904823989485E-3</v>
      </c>
      <c r="C21" s="8">
        <f>'3.8 Data - CAD#USD '!F22/100</f>
        <v>1.5305616005466594E-2</v>
      </c>
      <c r="D21" s="8">
        <f>'3.8 Data - CAD#USD '!G22/100</f>
        <v>1.3888995309643831E-2</v>
      </c>
      <c r="E21" s="8">
        <v>1.1900003000000003E-2</v>
      </c>
      <c r="F21" s="8">
        <v>1.2258139000000003E-2</v>
      </c>
      <c r="G21" s="8">
        <v>6.0118679000000001E-2</v>
      </c>
      <c r="I21" t="str">
        <f>F1</f>
        <v>Inflation Rate Differential</v>
      </c>
      <c r="J21" s="22">
        <v>-0.45454713270050834</v>
      </c>
      <c r="K21" s="8">
        <v>0.18260712835898374</v>
      </c>
      <c r="L21" s="8">
        <v>-2.4892080434391537</v>
      </c>
      <c r="M21" s="22">
        <v>1.3423894909165826E-2</v>
      </c>
      <c r="N21" s="8">
        <v>-0.81411147287086305</v>
      </c>
      <c r="O21" s="8">
        <v>-9.4982792530153584E-2</v>
      </c>
      <c r="P21" s="8">
        <v>-0.81411147287086305</v>
      </c>
      <c r="Q21" s="8">
        <v>-9.4982792530153584E-2</v>
      </c>
    </row>
    <row r="22" spans="1:17" ht="17" thickBot="1" x14ac:dyDescent="0.25">
      <c r="A22" s="2">
        <v>37741</v>
      </c>
      <c r="B22" s="8">
        <f>'Final Data'!I22</f>
        <v>-1.8877448011306325E-2</v>
      </c>
      <c r="C22" s="8">
        <f>'3.8 Data - CAD#USD '!F23/100</f>
        <v>1.5305616005466594E-2</v>
      </c>
      <c r="D22" s="8">
        <f>'3.8 Data - CAD#USD '!G23/100</f>
        <v>1.3888995309643831E-2</v>
      </c>
      <c r="E22" s="8">
        <v>1.0933344000000003E-2</v>
      </c>
      <c r="F22" s="8">
        <v>6.3894440000000019E-3</v>
      </c>
      <c r="G22" s="8">
        <v>4.8791456000000004E-2</v>
      </c>
      <c r="I22" s="5" t="str">
        <f>G1</f>
        <v>Account Balance Differential</v>
      </c>
      <c r="J22" s="23">
        <v>-0.11754209159125023</v>
      </c>
      <c r="K22" s="10">
        <v>4.9565581978150329E-2</v>
      </c>
      <c r="L22" s="10">
        <v>-2.371445807759617</v>
      </c>
      <c r="M22" s="23">
        <v>1.8442093149885107E-2</v>
      </c>
      <c r="N22" s="10">
        <v>-0.21513968232767156</v>
      </c>
      <c r="O22" s="10">
        <v>-1.9944500854828913E-2</v>
      </c>
      <c r="P22" s="10">
        <v>-0.21513968232767156</v>
      </c>
      <c r="Q22" s="10">
        <v>-1.9944500854828913E-2</v>
      </c>
    </row>
    <row r="23" spans="1:17" x14ac:dyDescent="0.2">
      <c r="A23" s="2">
        <v>37772</v>
      </c>
      <c r="B23" s="8">
        <f>'Final Data'!I23</f>
        <v>-4.0333367630414667E-2</v>
      </c>
      <c r="C23" s="8">
        <f>'3.8 Data - CAD#USD '!F24/100</f>
        <v>1.5305616005466594E-2</v>
      </c>
      <c r="D23" s="8">
        <f>'3.8 Data - CAD#USD '!G24/100</f>
        <v>1.3888995309643831E-2</v>
      </c>
      <c r="E23" s="8">
        <v>1.1169519000000001E-2</v>
      </c>
      <c r="F23" s="8">
        <v>8.2214910000000026E-3</v>
      </c>
      <c r="G23" s="8">
        <v>4.8791456000000004E-2</v>
      </c>
    </row>
    <row r="24" spans="1:17" x14ac:dyDescent="0.2">
      <c r="A24" s="2">
        <v>37802</v>
      </c>
      <c r="B24" s="8">
        <f>'Final Data'!I24</f>
        <v>1.5653479146563825E-2</v>
      </c>
      <c r="C24" s="8">
        <f>'3.8 Data - CAD#USD '!F25/100</f>
        <v>1.4153176460606926E-2</v>
      </c>
      <c r="D24" s="8">
        <f>'3.8 Data - CAD#USD '!G25/100</f>
        <v>1.4350122901171946E-2</v>
      </c>
      <c r="E24" s="8">
        <v>9.5380949999999982E-3</v>
      </c>
      <c r="F24" s="8">
        <v>7.6207380000000002E-3</v>
      </c>
      <c r="G24" s="8">
        <v>4.8791456000000004E-2</v>
      </c>
    </row>
    <row r="25" spans="1:17" x14ac:dyDescent="0.2">
      <c r="A25" s="2">
        <v>37833</v>
      </c>
      <c r="B25" s="8">
        <f>'Final Data'!I25</f>
        <v>2.2801646785601145E-2</v>
      </c>
      <c r="C25" s="8">
        <f>'3.8 Data - CAD#USD '!F26/100</f>
        <v>1.4153176460606926E-2</v>
      </c>
      <c r="D25" s="8">
        <f>'3.8 Data - CAD#USD '!G26/100</f>
        <v>1.4350122901171946E-2</v>
      </c>
      <c r="E25" s="8">
        <v>7.1502089999999985E-3</v>
      </c>
      <c r="F25" s="8">
        <v>1.3785809999999987E-3</v>
      </c>
      <c r="G25" s="8">
        <v>6.1583761000000001E-2</v>
      </c>
    </row>
    <row r="26" spans="1:17" x14ac:dyDescent="0.2">
      <c r="A26" s="2">
        <v>37864</v>
      </c>
      <c r="B26" s="8">
        <f>'Final Data'!I26</f>
        <v>1.2488388894622704E-2</v>
      </c>
      <c r="C26" s="8">
        <f>'3.8 Data - CAD#USD '!F27/100</f>
        <v>1.4153176460606926E-2</v>
      </c>
      <c r="D26" s="8">
        <f>'3.8 Data - CAD#USD '!G27/100</f>
        <v>1.4350122901171946E-2</v>
      </c>
      <c r="E26" s="8">
        <v>4.5676190000000002E-3</v>
      </c>
      <c r="F26" s="8">
        <v>-1.3065430000000022E-3</v>
      </c>
      <c r="G26" s="8">
        <v>6.1583761000000001E-2</v>
      </c>
    </row>
    <row r="27" spans="1:17" x14ac:dyDescent="0.2">
      <c r="A27" s="2">
        <v>37894</v>
      </c>
      <c r="B27" s="8">
        <f>'Final Data'!I27</f>
        <v>-5.3516819571865444E-2</v>
      </c>
      <c r="C27" s="8">
        <f>'3.8 Data - CAD#USD '!F28/100</f>
        <v>1.3275172746229096E-2</v>
      </c>
      <c r="D27" s="8">
        <f>'3.8 Data - CAD#USD '!G28/100</f>
        <v>1.6174069933868995E-2</v>
      </c>
      <c r="E27" s="8">
        <v>4.8285529999999976E-3</v>
      </c>
      <c r="F27" s="8">
        <v>-1.957867000000002E-3</v>
      </c>
      <c r="G27" s="8">
        <v>6.1583761000000001E-2</v>
      </c>
    </row>
    <row r="28" spans="1:17" x14ac:dyDescent="0.2">
      <c r="A28" s="2">
        <v>37925</v>
      </c>
      <c r="B28" s="8">
        <f>'Final Data'!I28</f>
        <v>-1.2924071082389913E-3</v>
      </c>
      <c r="C28" s="8">
        <f>'3.8 Data - CAD#USD '!F29/100</f>
        <v>1.3275172746229096E-2</v>
      </c>
      <c r="D28" s="8">
        <f>'3.8 Data - CAD#USD '!G29/100</f>
        <v>1.6174069933868995E-2</v>
      </c>
      <c r="E28" s="8">
        <v>5.2501919999999999E-3</v>
      </c>
      <c r="F28" s="8">
        <v>-4.6248010000000004E-3</v>
      </c>
      <c r="G28" s="8">
        <v>6.1029838000000003E-2</v>
      </c>
    </row>
    <row r="29" spans="1:17" x14ac:dyDescent="0.2">
      <c r="A29" s="2">
        <v>37955</v>
      </c>
      <c r="B29" s="8">
        <f>'Final Data'!I29</f>
        <v>-2.7175671303785291E-2</v>
      </c>
      <c r="C29" s="8">
        <f>'3.8 Data - CAD#USD '!F30/100</f>
        <v>1.3275172746229096E-2</v>
      </c>
      <c r="D29" s="8">
        <f>'3.8 Data - CAD#USD '!G30/100</f>
        <v>1.6174069933868995E-2</v>
      </c>
      <c r="E29" s="8">
        <v>5.4944460000000018E-3</v>
      </c>
      <c r="F29" s="8">
        <v>-4.5199590000000005E-3</v>
      </c>
      <c r="G29" s="8">
        <v>6.1029838000000003E-2</v>
      </c>
    </row>
    <row r="30" spans="1:17" x14ac:dyDescent="0.2">
      <c r="A30" s="2">
        <v>37986</v>
      </c>
      <c r="B30" s="8">
        <f>'Final Data'!I30</f>
        <v>-3.6470457820640644E-2</v>
      </c>
      <c r="C30" s="8">
        <f>'3.8 Data - CAD#USD '!F31/100</f>
        <v>1.3533513078627877E-2</v>
      </c>
      <c r="D30" s="8">
        <f>'3.8 Data - CAD#USD '!G31/100</f>
        <v>1.7435616809942732E-2</v>
      </c>
      <c r="E30" s="8">
        <v>4.6132090000000044E-3</v>
      </c>
      <c r="F30" s="8">
        <v>3.3760599999999919E-4</v>
      </c>
      <c r="G30" s="8">
        <v>6.1029838000000003E-2</v>
      </c>
    </row>
    <row r="31" spans="1:17" x14ac:dyDescent="0.2">
      <c r="A31" s="2">
        <v>38017</v>
      </c>
      <c r="B31" s="8">
        <f>'Final Data'!I31</f>
        <v>3.2213529682466767E-3</v>
      </c>
      <c r="C31" s="8">
        <f>'3.8 Data - CAD#USD '!F32/100</f>
        <v>1.3533513078627877E-2</v>
      </c>
      <c r="D31" s="8">
        <f>'3.8 Data - CAD#USD '!G32/100</f>
        <v>1.7435616809942732E-2</v>
      </c>
      <c r="E31" s="8">
        <v>4.3649809999999969E-3</v>
      </c>
      <c r="F31" s="8">
        <v>-7.5676300000000005E-3</v>
      </c>
      <c r="G31" s="8">
        <v>6.7017477000000006E-2</v>
      </c>
    </row>
    <row r="32" spans="1:17" x14ac:dyDescent="0.2">
      <c r="A32" s="2">
        <v>38046</v>
      </c>
      <c r="B32" s="8">
        <f>'Final Data'!I32</f>
        <v>1.2614678899082502E-3</v>
      </c>
      <c r="C32" s="8">
        <f>'3.8 Data - CAD#USD '!F33/100</f>
        <v>1.3533513078627877E-2</v>
      </c>
      <c r="D32" s="8">
        <f>'3.8 Data - CAD#USD '!G33/100</f>
        <v>1.7435616809942732E-2</v>
      </c>
      <c r="E32" s="8">
        <v>3.6947460000000022E-3</v>
      </c>
      <c r="F32" s="8">
        <v>-9.1100709999999991E-3</v>
      </c>
      <c r="G32" s="8">
        <v>6.7017479000000005E-2</v>
      </c>
    </row>
    <row r="33" spans="1:7" x14ac:dyDescent="0.2">
      <c r="A33" s="2">
        <v>38077</v>
      </c>
      <c r="B33" s="8">
        <f>'Final Data'!I33</f>
        <v>3.4360325277745635E-3</v>
      </c>
      <c r="C33" s="8">
        <f>'3.8 Data - CAD#USD '!F34/100</f>
        <v>1.3840178016243014E-2</v>
      </c>
      <c r="D33" s="8">
        <f>'3.8 Data - CAD#USD '!G34/100</f>
        <v>1.7481014512418517E-2</v>
      </c>
      <c r="E33" s="8">
        <v>4.3391199999999984E-3</v>
      </c>
      <c r="F33" s="8">
        <v>-1.06048064E-2</v>
      </c>
      <c r="G33" s="8">
        <v>6.7017479000000005E-2</v>
      </c>
    </row>
    <row r="34" spans="1:7" x14ac:dyDescent="0.2">
      <c r="A34" s="2">
        <v>38107</v>
      </c>
      <c r="B34" s="8">
        <f>'Final Data'!I34</f>
        <v>3.2758817486588342E-2</v>
      </c>
      <c r="C34" s="8">
        <f>'3.8 Data - CAD#USD '!F35/100</f>
        <v>1.3840178016243014E-2</v>
      </c>
      <c r="D34" s="8">
        <f>'3.8 Data - CAD#USD '!G35/100</f>
        <v>1.7481014512418517E-2</v>
      </c>
      <c r="E34" s="8">
        <v>2.6523749999999959E-3</v>
      </c>
      <c r="F34" s="8">
        <v>-6.3080310000000004E-3</v>
      </c>
      <c r="G34" s="8">
        <v>7.8729370000000007E-2</v>
      </c>
    </row>
    <row r="35" spans="1:7" x14ac:dyDescent="0.2">
      <c r="A35" s="2">
        <v>38138</v>
      </c>
      <c r="B35" s="8">
        <f>'Final Data'!I35</f>
        <v>-1.6909814323607438E-2</v>
      </c>
      <c r="C35" s="8">
        <f>'3.8 Data - CAD#USD '!F36/100</f>
        <v>1.3840178016243014E-2</v>
      </c>
      <c r="D35" s="8">
        <f>'3.8 Data - CAD#USD '!G36/100</f>
        <v>1.7481014512418517E-2</v>
      </c>
      <c r="E35" s="8">
        <v>5.7131600000000834E-4</v>
      </c>
      <c r="F35" s="8">
        <v>-3.5124760000000022E-3</v>
      </c>
      <c r="G35" s="8">
        <v>7.8729370000000007E-2</v>
      </c>
    </row>
    <row r="36" spans="1:7" x14ac:dyDescent="0.2">
      <c r="A36" s="2">
        <v>38168</v>
      </c>
      <c r="B36" s="8">
        <f>'Final Data'!I36</f>
        <v>-1.6863406408095074E-3</v>
      </c>
      <c r="C36" s="8">
        <f>'3.8 Data - CAD#USD '!F37/100</f>
        <v>1.5880486325776152E-2</v>
      </c>
      <c r="D36" s="8">
        <f>'3.8 Data - CAD#USD '!G37/100</f>
        <v>1.7355251976343609E-2</v>
      </c>
      <c r="E36" s="8">
        <v>1.9523810000000009E-3</v>
      </c>
      <c r="F36" s="8">
        <v>-7.2387200000000006E-3</v>
      </c>
      <c r="G36" s="8">
        <v>7.8729372000000006E-2</v>
      </c>
    </row>
    <row r="37" spans="1:7" x14ac:dyDescent="0.2">
      <c r="A37" s="2">
        <v>38199</v>
      </c>
      <c r="B37" s="8">
        <f>'Final Data'!I37</f>
        <v>1.3063063063063025E-2</v>
      </c>
      <c r="C37" s="8">
        <f>'3.8 Data - CAD#USD '!F38/100</f>
        <v>1.5880486325776152E-2</v>
      </c>
      <c r="D37" s="8">
        <f>'3.8 Data - CAD#USD '!G38/100</f>
        <v>1.7355251976343609E-2</v>
      </c>
      <c r="E37" s="8">
        <v>2.5240419999999998E-3</v>
      </c>
      <c r="F37" s="8">
        <v>-6.9567630000000012E-3</v>
      </c>
      <c r="G37" s="8">
        <v>7.5906736000000002E-2</v>
      </c>
    </row>
    <row r="38" spans="1:7" x14ac:dyDescent="0.2">
      <c r="A38" s="2">
        <v>38230</v>
      </c>
      <c r="B38" s="8">
        <f>'Final Data'!I38</f>
        <v>-1.1338372610048867E-2</v>
      </c>
      <c r="C38" s="8">
        <f>'3.8 Data - CAD#USD '!F39/100</f>
        <v>1.5880486325776152E-2</v>
      </c>
      <c r="D38" s="8">
        <f>'3.8 Data - CAD#USD '!G39/100</f>
        <v>1.7355251976343609E-2</v>
      </c>
      <c r="E38" s="8">
        <v>3.4958889999999964E-3</v>
      </c>
      <c r="F38" s="8">
        <v>-6.9918040000000016E-3</v>
      </c>
      <c r="G38" s="8">
        <v>7.5906736000000002E-2</v>
      </c>
    </row>
    <row r="39" spans="1:7" x14ac:dyDescent="0.2">
      <c r="A39" s="2">
        <v>38260</v>
      </c>
      <c r="B39" s="8">
        <f>'Final Data'!I39</f>
        <v>-1.7764785248482105E-2</v>
      </c>
      <c r="C39" s="8">
        <f>'3.8 Data - CAD#USD '!F40/100</f>
        <v>1.6909042346584795E-2</v>
      </c>
      <c r="D39" s="8">
        <f>'3.8 Data - CAD#USD '!G40/100</f>
        <v>1.6503340615313181E-2</v>
      </c>
      <c r="E39" s="8">
        <v>4.7666679999999939E-3</v>
      </c>
      <c r="F39" s="8">
        <v>-7.9158700000000002E-3</v>
      </c>
      <c r="G39" s="8">
        <v>7.5906736000000002E-2</v>
      </c>
    </row>
    <row r="40" spans="1:7" x14ac:dyDescent="0.2">
      <c r="A40" s="2">
        <v>38291</v>
      </c>
      <c r="B40" s="8">
        <f>'Final Data'!I40</f>
        <v>-2.8044871794871827E-2</v>
      </c>
      <c r="C40" s="8">
        <f>'3.8 Data - CAD#USD '!F41/100</f>
        <v>1.6909042346584795E-2</v>
      </c>
      <c r="D40" s="8">
        <f>'3.8 Data - CAD#USD '!G41/100</f>
        <v>1.6503340615313181E-2</v>
      </c>
      <c r="E40" s="8">
        <v>4.5047519999999964E-3</v>
      </c>
      <c r="F40" s="8">
        <v>-9.5575100000000017E-3</v>
      </c>
      <c r="G40" s="8">
        <v>8.0024786999999986E-2</v>
      </c>
    </row>
    <row r="41" spans="1:7" x14ac:dyDescent="0.2">
      <c r="A41" s="2">
        <v>38321</v>
      </c>
      <c r="B41" s="8">
        <f>'Final Data'!I41</f>
        <v>-3.6391473324696777E-2</v>
      </c>
      <c r="C41" s="8">
        <f>'3.8 Data - CAD#USD '!F42/100</f>
        <v>1.6909042346584795E-2</v>
      </c>
      <c r="D41" s="8">
        <f>'3.8 Data - CAD#USD '!G42/100</f>
        <v>1.6503340615313181E-2</v>
      </c>
      <c r="E41" s="8">
        <v>2.9333450000000026E-3</v>
      </c>
      <c r="F41" s="8">
        <v>-1.0997979999999997E-2</v>
      </c>
      <c r="G41" s="8">
        <v>8.0024786999999986E-2</v>
      </c>
    </row>
    <row r="42" spans="1:7" x14ac:dyDescent="0.2">
      <c r="A42" s="2">
        <v>38352</v>
      </c>
      <c r="B42" s="8">
        <f>'Final Data'!I42</f>
        <v>-1.1855292104619884E-2</v>
      </c>
      <c r="C42" s="8">
        <f>'3.8 Data - CAD#USD '!F43/100</f>
        <v>1.6950175684085026E-2</v>
      </c>
      <c r="D42" s="8">
        <f>'3.8 Data - CAD#USD '!G43/100</f>
        <v>1.6325511882932093E-2</v>
      </c>
      <c r="E42" s="8">
        <v>8.9591099999999815E-4</v>
      </c>
      <c r="F42" s="8">
        <v>-1.2187674000000004E-2</v>
      </c>
      <c r="G42" s="8">
        <v>8.0024786999999986E-2</v>
      </c>
    </row>
    <row r="43" spans="1:7" x14ac:dyDescent="0.2">
      <c r="A43" s="2">
        <v>38383</v>
      </c>
      <c r="B43" s="8">
        <f>'Final Data'!I43</f>
        <v>3.4013605442176874E-2</v>
      </c>
      <c r="C43" s="8">
        <f>'3.8 Data - CAD#USD '!F44/100</f>
        <v>1.6950175684085026E-2</v>
      </c>
      <c r="D43" s="8">
        <f>'3.8 Data - CAD#USD '!G44/100</f>
        <v>1.6325511882932093E-2</v>
      </c>
      <c r="E43" s="8">
        <v>4.0079099999999811E-4</v>
      </c>
      <c r="F43" s="8">
        <v>-8.197999000000001E-3</v>
      </c>
      <c r="G43" s="8">
        <v>6.2549051000000008E-2</v>
      </c>
    </row>
    <row r="44" spans="1:7" x14ac:dyDescent="0.2">
      <c r="A44" s="2">
        <v>38411</v>
      </c>
      <c r="B44" s="8">
        <f>'Final Data'!I44</f>
        <v>-1.3038277511961594E-2</v>
      </c>
      <c r="C44" s="8">
        <f>'3.8 Data - CAD#USD '!F45/100</f>
        <v>1.6950175684085026E-2</v>
      </c>
      <c r="D44" s="8">
        <f>'3.8 Data - CAD#USD '!G45/100</f>
        <v>1.6325511882932093E-2</v>
      </c>
      <c r="E44" s="8">
        <v>3.736949999999961E-4</v>
      </c>
      <c r="F44" s="8">
        <v>-9.3150980000000008E-3</v>
      </c>
      <c r="G44" s="8">
        <v>6.2549051499999994E-2</v>
      </c>
    </row>
    <row r="45" spans="1:7" x14ac:dyDescent="0.2">
      <c r="A45" s="2">
        <v>38442</v>
      </c>
      <c r="B45" s="8">
        <f>'Final Data'!I45</f>
        <v>1.8785601745242964E-2</v>
      </c>
      <c r="C45" s="8">
        <f>'3.8 Data - CAD#USD '!F46/100</f>
        <v>1.648664447268048E-2</v>
      </c>
      <c r="D45" s="8">
        <f>'3.8 Data - CAD#USD '!G46/100</f>
        <v>1.6995204298932077E-2</v>
      </c>
      <c r="E45" s="8">
        <v>-1.3954550000000055E-3</v>
      </c>
      <c r="F45" s="8">
        <v>-7.9604659999999994E-3</v>
      </c>
      <c r="G45" s="8">
        <v>6.2549051000000008E-2</v>
      </c>
    </row>
    <row r="46" spans="1:7" x14ac:dyDescent="0.2">
      <c r="A46" s="2">
        <v>38472</v>
      </c>
      <c r="B46" s="8">
        <f>'Final Data'!I46</f>
        <v>4.4016178919819718E-3</v>
      </c>
      <c r="C46" s="8">
        <f>'3.8 Data - CAD#USD '!F47/100</f>
        <v>1.648664447268048E-2</v>
      </c>
      <c r="D46" s="8">
        <f>'3.8 Data - CAD#USD '!G47/100</f>
        <v>1.6995204298932077E-2</v>
      </c>
      <c r="E46" s="8">
        <v>-1.4714500000000009E-3</v>
      </c>
      <c r="F46" s="8">
        <v>-1.0540993999999996E-2</v>
      </c>
      <c r="G46" s="8">
        <v>6.7003640000000003E-2</v>
      </c>
    </row>
    <row r="47" spans="1:7" x14ac:dyDescent="0.2">
      <c r="A47" s="2">
        <v>38503</v>
      </c>
      <c r="B47" s="8">
        <f>'Final Data'!I47</f>
        <v>3.9440957005803599E-2</v>
      </c>
      <c r="C47" s="8">
        <f>'3.8 Data - CAD#USD '!F48/100</f>
        <v>1.648664447268048E-2</v>
      </c>
      <c r="D47" s="8">
        <f>'3.8 Data - CAD#USD '!G48/100</f>
        <v>1.6995204298932077E-2</v>
      </c>
      <c r="E47" s="8">
        <v>-6.4785699999999832E-4</v>
      </c>
      <c r="F47" s="8">
        <v>-1.3411098000000002E-2</v>
      </c>
      <c r="G47" s="8">
        <v>6.7003640000000003E-2</v>
      </c>
    </row>
    <row r="48" spans="1:7" x14ac:dyDescent="0.2">
      <c r="A48" s="2">
        <v>38533</v>
      </c>
      <c r="B48" s="8">
        <f>'Final Data'!I48</f>
        <v>1.5382862351868667E-2</v>
      </c>
      <c r="C48" s="8">
        <f>'3.8 Data - CAD#USD '!F49/100</f>
        <v>1.5885422341495179E-2</v>
      </c>
      <c r="D48" s="8">
        <f>'3.8 Data - CAD#USD '!G49/100</f>
        <v>1.6652405391553656E-2</v>
      </c>
      <c r="E48" s="8">
        <v>-1.6999979999999981E-3</v>
      </c>
      <c r="F48" s="8">
        <v>-8.2347360000000029E-3</v>
      </c>
      <c r="G48" s="8">
        <v>6.7003638000000004E-2</v>
      </c>
    </row>
    <row r="49" spans="1:7" x14ac:dyDescent="0.2">
      <c r="A49" s="2">
        <v>38564</v>
      </c>
      <c r="B49" s="8">
        <f>'Final Data'!I49</f>
        <v>2.6933004152170899E-3</v>
      </c>
      <c r="C49" s="8">
        <f>'3.8 Data - CAD#USD '!F50/100</f>
        <v>1.5885422341495179E-2</v>
      </c>
      <c r="D49" s="8">
        <f>'3.8 Data - CAD#USD '!G50/100</f>
        <v>1.6652405391553656E-2</v>
      </c>
      <c r="E49" s="8">
        <v>-2.7539369999999997E-3</v>
      </c>
      <c r="F49" s="8">
        <v>-1.158755E-2</v>
      </c>
      <c r="G49" s="8">
        <v>7.9303634999999997E-2</v>
      </c>
    </row>
    <row r="50" spans="1:7" x14ac:dyDescent="0.2">
      <c r="A50" s="2">
        <v>38595</v>
      </c>
      <c r="B50" s="8">
        <f>'Final Data'!I50</f>
        <v>-1.9809736989367614E-2</v>
      </c>
      <c r="C50" s="8">
        <f>'3.8 Data - CAD#USD '!F51/100</f>
        <v>1.5885422341495179E-2</v>
      </c>
      <c r="D50" s="8">
        <f>'3.8 Data - CAD#USD '!G51/100</f>
        <v>1.6652405391553656E-2</v>
      </c>
      <c r="E50" s="8">
        <v>-3.4215419999999996E-3</v>
      </c>
      <c r="F50" s="8">
        <v>-1.1636498E-2</v>
      </c>
      <c r="G50" s="8">
        <v>7.9303636999999996E-2</v>
      </c>
    </row>
    <row r="51" spans="1:7" x14ac:dyDescent="0.2">
      <c r="A51" s="2">
        <v>38625</v>
      </c>
      <c r="B51" s="8">
        <f>'Final Data'!I51</f>
        <v>2.2151176067595316E-2</v>
      </c>
      <c r="C51" s="8">
        <f>'3.8 Data - CAD#USD '!F52/100</f>
        <v>1.5925086514271148E-2</v>
      </c>
      <c r="D51" s="8">
        <f>'3.8 Data - CAD#USD '!G52/100</f>
        <v>1.6446548057256233E-2</v>
      </c>
      <c r="E51" s="8">
        <v>-3.3047620000000054E-3</v>
      </c>
      <c r="F51" s="8">
        <v>-1.4021330000000005E-2</v>
      </c>
      <c r="G51" s="8">
        <v>7.9303634999999997E-2</v>
      </c>
    </row>
    <row r="52" spans="1:7" x14ac:dyDescent="0.2">
      <c r="A52" s="2">
        <v>38656</v>
      </c>
      <c r="B52" s="8">
        <f>'Final Data'!I52</f>
        <v>6.1438784629132843E-3</v>
      </c>
      <c r="C52" s="8">
        <f>'3.8 Data - CAD#USD '!F53/100</f>
        <v>1.5925086514271148E-2</v>
      </c>
      <c r="D52" s="8">
        <f>'3.8 Data - CAD#USD '!G53/100</f>
        <v>1.6446548057256233E-2</v>
      </c>
      <c r="E52" s="8">
        <v>-4.1109560000000033E-3</v>
      </c>
      <c r="F52" s="8">
        <v>-1.5934449999999999E-2</v>
      </c>
      <c r="G52" s="8">
        <v>9.6919857999999998E-2</v>
      </c>
    </row>
    <row r="53" spans="1:7" x14ac:dyDescent="0.2">
      <c r="A53" s="2">
        <v>38686</v>
      </c>
      <c r="B53" s="8">
        <f>'Final Data'!I53</f>
        <v>1.6653713778172534E-2</v>
      </c>
      <c r="C53" s="8">
        <f>'3.8 Data - CAD#USD '!F54/100</f>
        <v>1.5925086514271148E-2</v>
      </c>
      <c r="D53" s="8">
        <f>'3.8 Data - CAD#USD '!G54/100</f>
        <v>1.6446548057256233E-2</v>
      </c>
      <c r="E53" s="8">
        <v>-4.2371399999999951E-3</v>
      </c>
      <c r="F53" s="8">
        <v>-1.2571898E-2</v>
      </c>
      <c r="G53" s="8">
        <v>9.6919857999999998E-2</v>
      </c>
    </row>
    <row r="54" spans="1:7" x14ac:dyDescent="0.2">
      <c r="A54" s="2">
        <v>38717</v>
      </c>
      <c r="B54" s="8">
        <f>'Final Data'!I54</f>
        <v>-4.3682428743037184E-3</v>
      </c>
      <c r="C54" s="8">
        <f>'3.8 Data - CAD#USD '!F55/100</f>
        <v>1.6282003548590305E-2</v>
      </c>
      <c r="D54" s="8">
        <f>'3.8 Data - CAD#USD '!G55/100</f>
        <v>1.5837863046243007E-2</v>
      </c>
      <c r="E54" s="8">
        <v>-4.2614309999999996E-3</v>
      </c>
      <c r="F54" s="8">
        <v>-1.2591647999999997E-2</v>
      </c>
      <c r="G54" s="8">
        <v>9.6919862999999995E-2</v>
      </c>
    </row>
    <row r="55" spans="1:7" x14ac:dyDescent="0.2">
      <c r="A55" s="2">
        <v>38748</v>
      </c>
      <c r="B55" s="8">
        <f>'Final Data'!I55</f>
        <v>-2.4240429965997675E-2</v>
      </c>
      <c r="C55" s="8">
        <f>'3.8 Data - CAD#USD '!F56/100</f>
        <v>1.6282003548590305E-2</v>
      </c>
      <c r="D55" s="8">
        <f>'3.8 Data - CAD#USD '!G56/100</f>
        <v>1.5837863046243007E-2</v>
      </c>
      <c r="E55" s="8">
        <v>-3.8449909999999934E-3</v>
      </c>
      <c r="F55" s="8">
        <v>-1.0887250999999995E-2</v>
      </c>
      <c r="G55" s="8">
        <v>7.7183209000000003E-2</v>
      </c>
    </row>
    <row r="56" spans="1:7" x14ac:dyDescent="0.2">
      <c r="A56" s="2">
        <v>38776</v>
      </c>
      <c r="B56" s="8">
        <f>'Final Data'!I56</f>
        <v>1.292715827338136E-2</v>
      </c>
      <c r="C56" s="8">
        <f>'3.8 Data - CAD#USD '!F57/100</f>
        <v>1.6282003548590305E-2</v>
      </c>
      <c r="D56" s="8">
        <f>'3.8 Data - CAD#USD '!G57/100</f>
        <v>1.5837863046243007E-2</v>
      </c>
      <c r="E56" s="8">
        <v>-3.9573669999999964E-3</v>
      </c>
      <c r="F56" s="8">
        <v>-1.1831043999999999E-2</v>
      </c>
      <c r="G56" s="8">
        <v>7.7183209000000003E-2</v>
      </c>
    </row>
    <row r="57" spans="1:7" x14ac:dyDescent="0.2">
      <c r="A57" s="2">
        <v>38807</v>
      </c>
      <c r="B57" s="8">
        <f>'Final Data'!I57</f>
        <v>-4.2170680279657695E-3</v>
      </c>
      <c r="C57" s="8">
        <f>'3.8 Data - CAD#USD '!F58/100</f>
        <v>1.6858983665817194E-2</v>
      </c>
      <c r="D57" s="8">
        <f>'3.8 Data - CAD#USD '!G58/100</f>
        <v>1.6151051764326376E-2</v>
      </c>
      <c r="E57" s="8">
        <v>-5.2485270000000028E-3</v>
      </c>
      <c r="F57" s="8">
        <v>-1.1580186000000001E-2</v>
      </c>
      <c r="G57" s="8">
        <v>7.7183209000000003E-2</v>
      </c>
    </row>
    <row r="58" spans="1:7" x14ac:dyDescent="0.2">
      <c r="A58" s="2">
        <v>38837</v>
      </c>
      <c r="B58" s="8">
        <f>'Final Data'!I58</f>
        <v>-4.034325197815674E-2</v>
      </c>
      <c r="C58" s="8">
        <f>'3.8 Data - CAD#USD '!F59/100</f>
        <v>1.6858983665817194E-2</v>
      </c>
      <c r="D58" s="8">
        <f>'3.8 Data - CAD#USD '!G59/100</f>
        <v>1.6151051764326376E-2</v>
      </c>
      <c r="E58" s="8">
        <v>-5.6132039999999958E-3</v>
      </c>
      <c r="F58" s="8">
        <v>-1.0762506999999998E-2</v>
      </c>
      <c r="G58" s="8">
        <v>7.1760400000000002E-2</v>
      </c>
    </row>
    <row r="59" spans="1:7" x14ac:dyDescent="0.2">
      <c r="A59" s="2">
        <v>38868</v>
      </c>
      <c r="B59" s="8">
        <f>'Final Data'!I59</f>
        <v>-1.6142143769597033E-2</v>
      </c>
      <c r="C59" s="8">
        <f>'3.8 Data - CAD#USD '!F60/100</f>
        <v>1.6858983665817194E-2</v>
      </c>
      <c r="D59" s="8">
        <f>'3.8 Data - CAD#USD '!G60/100</f>
        <v>1.6151051764326376E-2</v>
      </c>
      <c r="E59" s="8">
        <v>-6.9662660000000013E-3</v>
      </c>
      <c r="F59" s="8">
        <v>-1.2491445000000004E-2</v>
      </c>
      <c r="G59" s="8">
        <v>7.1760400000000002E-2</v>
      </c>
    </row>
    <row r="60" spans="1:7" x14ac:dyDescent="0.2">
      <c r="A60" s="2">
        <v>38898</v>
      </c>
      <c r="B60" s="8">
        <f>'Final Data'!I60</f>
        <v>5.9017941454202081E-3</v>
      </c>
      <c r="C60" s="8">
        <f>'3.8 Data - CAD#USD '!F61/100</f>
        <v>1.6003273158481438E-2</v>
      </c>
      <c r="D60" s="8">
        <f>'3.8 Data - CAD#USD '!G61/100</f>
        <v>1.5838074335253579E-2</v>
      </c>
      <c r="E60" s="8">
        <v>-6.5522300000000035E-3</v>
      </c>
      <c r="F60" s="8">
        <v>-1.8365164999999996E-2</v>
      </c>
      <c r="G60" s="8">
        <v>7.1760400000000002E-2</v>
      </c>
    </row>
    <row r="61" spans="1:7" x14ac:dyDescent="0.2">
      <c r="A61" s="2">
        <v>38929</v>
      </c>
      <c r="B61" s="8">
        <f>'Final Data'!I61</f>
        <v>9.3874677305794759E-4</v>
      </c>
      <c r="C61" s="8">
        <f>'3.8 Data - CAD#USD '!F62/100</f>
        <v>1.6003273158481438E-2</v>
      </c>
      <c r="D61" s="8">
        <f>'3.8 Data - CAD#USD '!G62/100</f>
        <v>1.5838074335253579E-2</v>
      </c>
      <c r="E61" s="8">
        <v>-6.4892070000000055E-3</v>
      </c>
      <c r="F61" s="8">
        <v>-1.8574780000000003E-2</v>
      </c>
      <c r="G61" s="8">
        <v>7.6110299000000006E-2</v>
      </c>
    </row>
    <row r="62" spans="1:7" x14ac:dyDescent="0.2">
      <c r="A62" s="2">
        <v>38960</v>
      </c>
      <c r="B62" s="8">
        <f>'Final Data'!I62</f>
        <v>-2.9308323563892145E-3</v>
      </c>
      <c r="C62" s="8">
        <f>'3.8 Data - CAD#USD '!F63/100</f>
        <v>1.6003273158481438E-2</v>
      </c>
      <c r="D62" s="8">
        <f>'3.8 Data - CAD#USD '!G63/100</f>
        <v>1.5838074335253579E-2</v>
      </c>
      <c r="E62" s="8">
        <v>-6.1829610000000024E-3</v>
      </c>
      <c r="F62" s="8">
        <v>-1.9694362E-2</v>
      </c>
      <c r="G62" s="8">
        <v>7.6110299000000006E-2</v>
      </c>
    </row>
    <row r="63" spans="1:7" x14ac:dyDescent="0.2">
      <c r="A63" s="2">
        <v>38990</v>
      </c>
      <c r="B63" s="8">
        <f>'Final Data'!I63</f>
        <v>1.0817166372721948E-2</v>
      </c>
      <c r="C63" s="8">
        <f>'3.8 Data - CAD#USD '!F64/100</f>
        <v>1.4660197445393208E-2</v>
      </c>
      <c r="D63" s="8">
        <f>'3.8 Data - CAD#USD '!G64/100</f>
        <v>1.4925980976030644E-2</v>
      </c>
      <c r="E63" s="8">
        <v>-6.426666000000001E-3</v>
      </c>
      <c r="F63" s="8">
        <v>-1.3657295999999999E-2</v>
      </c>
      <c r="G63" s="8">
        <v>7.6110297999999993E-2</v>
      </c>
    </row>
    <row r="64" spans="1:7" x14ac:dyDescent="0.2">
      <c r="A64" s="2">
        <v>39021</v>
      </c>
      <c r="B64" s="8">
        <f>'Final Data'!I64</f>
        <v>-7.5607770152379397E-3</v>
      </c>
      <c r="C64" s="8">
        <f>'3.8 Data - CAD#USD '!F65/100</f>
        <v>1.4660197445393208E-2</v>
      </c>
      <c r="D64" s="8">
        <f>'3.8 Data - CAD#USD '!G65/100</f>
        <v>1.4925980976030644E-2</v>
      </c>
      <c r="E64" s="8">
        <v>-6.0910340000000038E-3</v>
      </c>
      <c r="F64" s="8">
        <v>-4.8125490000000002E-3</v>
      </c>
      <c r="G64" s="8">
        <v>6.9288028000000002E-2</v>
      </c>
    </row>
    <row r="65" spans="1:7" x14ac:dyDescent="0.2">
      <c r="A65" s="2">
        <v>39051</v>
      </c>
      <c r="B65" s="8">
        <f>'Final Data'!I65</f>
        <v>-2.8129395218002715E-2</v>
      </c>
      <c r="C65" s="8">
        <f>'3.8 Data - CAD#USD '!F66/100</f>
        <v>1.4660197445393208E-2</v>
      </c>
      <c r="D65" s="8">
        <f>'3.8 Data - CAD#USD '!G66/100</f>
        <v>1.4925980976030644E-2</v>
      </c>
      <c r="E65" s="8">
        <v>-5.8934729999999998E-3</v>
      </c>
      <c r="F65" s="8">
        <v>-4.8584479999999996E-3</v>
      </c>
      <c r="G65" s="8">
        <v>6.9288028000000002E-2</v>
      </c>
    </row>
    <row r="66" spans="1:7" x14ac:dyDescent="0.2">
      <c r="A66" s="2">
        <v>39082</v>
      </c>
      <c r="B66" s="8">
        <f>'Final Data'!I66</f>
        <v>9.6478533526290055E-3</v>
      </c>
      <c r="C66" s="8">
        <f>'3.8 Data - CAD#USD '!F67/100</f>
        <v>1.3660235985767866E-2</v>
      </c>
      <c r="D66" s="8">
        <f>'3.8 Data - CAD#USD '!G67/100</f>
        <v>1.537506040913097E-2</v>
      </c>
      <c r="E66" s="8">
        <v>-5.8693019999999981E-3</v>
      </c>
      <c r="F66" s="8">
        <v>-7.6471159999999981E-3</v>
      </c>
      <c r="G66" s="8">
        <v>6.9288026000000003E-2</v>
      </c>
    </row>
    <row r="67" spans="1:7" x14ac:dyDescent="0.2">
      <c r="A67" s="2">
        <v>39113</v>
      </c>
      <c r="B67" s="8">
        <f>'Final Data'!I67</f>
        <v>1.0630673674151943E-2</v>
      </c>
      <c r="C67" s="8">
        <f>'3.8 Data - CAD#USD '!F68/100</f>
        <v>1.3660235985767866E-2</v>
      </c>
      <c r="D67" s="8">
        <f>'3.8 Data - CAD#USD '!G68/100</f>
        <v>1.537506040913097E-2</v>
      </c>
      <c r="E67" s="8">
        <v>-6.330802999999996E-3</v>
      </c>
      <c r="F67" s="8">
        <v>-8.8202019999999975E-3</v>
      </c>
      <c r="G67" s="8">
        <v>6.6627834999999996E-2</v>
      </c>
    </row>
    <row r="68" spans="1:7" x14ac:dyDescent="0.2">
      <c r="A68" s="2">
        <v>39141</v>
      </c>
      <c r="B68" s="8">
        <f>'Final Data'!I68</f>
        <v>-1.2291691289445766E-2</v>
      </c>
      <c r="C68" s="8">
        <f>'3.8 Data - CAD#USD '!F69/100</f>
        <v>1.3660235985767866E-2</v>
      </c>
      <c r="D68" s="8">
        <f>'3.8 Data - CAD#USD '!G69/100</f>
        <v>1.537506040913097E-2</v>
      </c>
      <c r="E68" s="8">
        <v>-6.0129370000000029E-3</v>
      </c>
      <c r="F68" s="8">
        <v>-4.8479119999999985E-3</v>
      </c>
      <c r="G68" s="8">
        <v>6.6627834999999996E-2</v>
      </c>
    </row>
    <row r="69" spans="1:7" x14ac:dyDescent="0.2">
      <c r="A69" s="2">
        <v>39172</v>
      </c>
      <c r="B69" s="8">
        <f>'Final Data'!I69</f>
        <v>-7.6582505683856217E-3</v>
      </c>
      <c r="C69" s="8">
        <f>'3.8 Data - CAD#USD '!F70/100</f>
        <v>1.3340275523711023E-2</v>
      </c>
      <c r="D69" s="8">
        <f>'3.8 Data - CAD#USD '!G70/100</f>
        <v>1.3709542785744867E-2</v>
      </c>
      <c r="E69" s="8">
        <v>-5.115324000000001E-3</v>
      </c>
      <c r="F69" s="8">
        <v>-4.0408759999999997E-3</v>
      </c>
      <c r="G69" s="8">
        <v>6.6627834999999996E-2</v>
      </c>
    </row>
    <row r="70" spans="1:7" x14ac:dyDescent="0.2">
      <c r="A70" s="2">
        <v>39202</v>
      </c>
      <c r="B70" s="8">
        <f>'Final Data'!I70</f>
        <v>-1.7846376462076496E-2</v>
      </c>
      <c r="C70" s="8">
        <f>'3.8 Data - CAD#USD '!F71/100</f>
        <v>1.3340275523711023E-2</v>
      </c>
      <c r="D70" s="8">
        <f>'3.8 Data - CAD#USD '!G71/100</f>
        <v>1.3709542785744867E-2</v>
      </c>
      <c r="E70" s="8">
        <v>-5.1494450000000034E-3</v>
      </c>
      <c r="F70" s="8">
        <v>-3.9310339999999973E-3</v>
      </c>
      <c r="G70" s="8">
        <v>6.8680157000000006E-2</v>
      </c>
    </row>
    <row r="71" spans="1:7" x14ac:dyDescent="0.2">
      <c r="A71" s="2">
        <v>39233</v>
      </c>
      <c r="B71" s="8">
        <f>'Final Data'!I71</f>
        <v>1.043585021485567E-2</v>
      </c>
      <c r="C71" s="8">
        <f>'3.8 Data - CAD#USD '!F72/100</f>
        <v>1.3340275523711023E-2</v>
      </c>
      <c r="D71" s="8">
        <f>'3.8 Data - CAD#USD '!G72/100</f>
        <v>1.3709542785744867E-2</v>
      </c>
      <c r="E71" s="8">
        <v>-4.5124539999999947E-3</v>
      </c>
      <c r="F71" s="8">
        <v>-6.0364759999999998E-3</v>
      </c>
      <c r="G71" s="8">
        <v>6.8680157000000006E-2</v>
      </c>
    </row>
    <row r="72" spans="1:7" x14ac:dyDescent="0.2">
      <c r="A72" s="2">
        <v>39263</v>
      </c>
      <c r="B72" s="8">
        <f>'Final Data'!I72</f>
        <v>-4.6172539489671384E-3</v>
      </c>
      <c r="C72" s="8">
        <f>'3.8 Data - CAD#USD '!F73/100</f>
        <v>1.4890941899230419E-2</v>
      </c>
      <c r="D72" s="8">
        <f>'3.8 Data - CAD#USD '!G73/100</f>
        <v>1.4316559296847249E-2</v>
      </c>
      <c r="E72" s="8">
        <v>-4.8333359999999988E-3</v>
      </c>
      <c r="F72" s="8">
        <v>-6.7624879999999979E-3</v>
      </c>
      <c r="G72" s="8">
        <v>6.8680157000000006E-2</v>
      </c>
    </row>
    <row r="73" spans="1:7" x14ac:dyDescent="0.2">
      <c r="A73" s="2">
        <v>39294</v>
      </c>
      <c r="B73" s="8">
        <f>'Final Data'!I73</f>
        <v>-1.4038085937500069E-2</v>
      </c>
      <c r="C73" s="8">
        <f>'3.8 Data - CAD#USD '!F74/100</f>
        <v>1.4890941899230419E-2</v>
      </c>
      <c r="D73" s="8">
        <f>'3.8 Data - CAD#USD '!G74/100</f>
        <v>1.4316559296847249E-2</v>
      </c>
      <c r="E73" s="8">
        <v>-4.0296690000000005E-3</v>
      </c>
      <c r="F73" s="8">
        <v>-3.0323659999999999E-3</v>
      </c>
      <c r="G73" s="8">
        <v>5.13602404E-2</v>
      </c>
    </row>
    <row r="74" spans="1:7" x14ac:dyDescent="0.2">
      <c r="A74" s="2">
        <v>39325</v>
      </c>
      <c r="B74" s="8">
        <f>'Final Data'!I74</f>
        <v>2.4761668936498988E-4</v>
      </c>
      <c r="C74" s="8">
        <f>'3.8 Data - CAD#USD '!F75/100</f>
        <v>1.4890941899230419E-2</v>
      </c>
      <c r="D74" s="8">
        <f>'3.8 Data - CAD#USD '!G75/100</f>
        <v>1.4316559296847249E-2</v>
      </c>
      <c r="E74" s="8">
        <v>-2.465339999999996E-3</v>
      </c>
      <c r="F74" s="8">
        <v>-1.6069710000000015E-3</v>
      </c>
      <c r="G74" s="8">
        <v>5.13602404E-2</v>
      </c>
    </row>
    <row r="75" spans="1:7" x14ac:dyDescent="0.2">
      <c r="A75" s="2">
        <v>39355</v>
      </c>
      <c r="B75" s="8">
        <f>'Final Data'!I75</f>
        <v>-3.7999752444609569E-2</v>
      </c>
      <c r="C75" s="8">
        <f>'3.8 Data - CAD#USD '!F76/100</f>
        <v>1.5032460075932444E-2</v>
      </c>
      <c r="D75" s="8">
        <f>'3.8 Data - CAD#USD '!G76/100</f>
        <v>1.4989672891687265E-2</v>
      </c>
      <c r="E75" s="8">
        <v>-1.5618499999999979E-3</v>
      </c>
      <c r="F75" s="8">
        <v>-3.5677190000000004E-3</v>
      </c>
      <c r="G75" s="8">
        <v>5.13602404E-2</v>
      </c>
    </row>
    <row r="76" spans="1:7" x14ac:dyDescent="0.2">
      <c r="A76" s="2">
        <v>39386</v>
      </c>
      <c r="B76" s="8">
        <f>'Final Data'!I76</f>
        <v>-1.5954709212557833E-2</v>
      </c>
      <c r="C76" s="8">
        <f>'3.8 Data - CAD#USD '!F77/100</f>
        <v>1.5032460075932444E-2</v>
      </c>
      <c r="D76" s="8">
        <f>'3.8 Data - CAD#USD '!G77/100</f>
        <v>1.4989672891687265E-2</v>
      </c>
      <c r="E76" s="8">
        <v>-1.5245249999999988E-3</v>
      </c>
      <c r="F76" s="8">
        <v>-1.0442423999999999E-2</v>
      </c>
      <c r="G76" s="8">
        <v>5.0149040499999999E-2</v>
      </c>
    </row>
    <row r="77" spans="1:7" x14ac:dyDescent="0.2">
      <c r="A77" s="2">
        <v>39416</v>
      </c>
      <c r="B77" s="8">
        <f>'Final Data'!I77</f>
        <v>-4.3148535564853331E-3</v>
      </c>
      <c r="C77" s="8">
        <f>'3.8 Data - CAD#USD '!F78/100</f>
        <v>1.5032460075932444E-2</v>
      </c>
      <c r="D77" s="8">
        <f>'3.8 Data - CAD#USD '!G78/100</f>
        <v>1.4989672891687265E-2</v>
      </c>
      <c r="E77" s="8">
        <v>-2.3667800000000129E-4</v>
      </c>
      <c r="F77" s="8">
        <v>-1.9075109000000007E-2</v>
      </c>
      <c r="G77" s="8">
        <v>5.0149040499999999E-2</v>
      </c>
    </row>
    <row r="78" spans="1:7" x14ac:dyDescent="0.2">
      <c r="A78" s="2">
        <v>39447</v>
      </c>
      <c r="B78" s="8">
        <f>'Final Data'!I78</f>
        <v>7.0912672357188707E-3</v>
      </c>
      <c r="C78" s="8">
        <f>'3.8 Data - CAD#USD '!F79/100</f>
        <v>1.4619874571856208E-2</v>
      </c>
      <c r="D78" s="8">
        <f>'3.8 Data - CAD#USD '!G79/100</f>
        <v>1.4633123487540436E-2</v>
      </c>
      <c r="E78" s="8">
        <v>-6.8641000000000394E-4</v>
      </c>
      <c r="F78" s="8">
        <v>-1.6520380999999994E-2</v>
      </c>
      <c r="G78" s="8">
        <v>5.0149040499999999E-2</v>
      </c>
    </row>
    <row r="79" spans="1:7" x14ac:dyDescent="0.2">
      <c r="A79" s="2">
        <v>39478</v>
      </c>
      <c r="B79" s="8">
        <f>'Final Data'!I79</f>
        <v>-1.9689659668796336E-2</v>
      </c>
      <c r="C79" s="8">
        <f>'3.8 Data - CAD#USD '!F80/100</f>
        <v>1.4619874571856208E-2</v>
      </c>
      <c r="D79" s="8">
        <f>'3.8 Data - CAD#USD '!G80/100</f>
        <v>1.4633123487540436E-2</v>
      </c>
      <c r="E79" s="8">
        <v>1.1427469999999973E-3</v>
      </c>
      <c r="F79" s="8">
        <v>-2.2983180000000002E-2</v>
      </c>
      <c r="G79" s="8">
        <v>5.8596340600000005E-2</v>
      </c>
    </row>
    <row r="80" spans="1:7" x14ac:dyDescent="0.2">
      <c r="A80" s="2">
        <v>39507</v>
      </c>
      <c r="B80" s="8">
        <f>'Final Data'!I80</f>
        <v>-1.9553072625698498E-2</v>
      </c>
      <c r="C80" s="8">
        <f>'3.8 Data - CAD#USD '!F81/100</f>
        <v>1.4619874571856208E-2</v>
      </c>
      <c r="D80" s="8">
        <f>'3.8 Data - CAD#USD '!G81/100</f>
        <v>1.4633123487540436E-2</v>
      </c>
      <c r="E80" s="8">
        <v>1.0009959999999962E-3</v>
      </c>
      <c r="F80" s="8">
        <v>-2.3346285999999997E-2</v>
      </c>
      <c r="G80" s="8">
        <v>5.8596341000000003E-2</v>
      </c>
    </row>
    <row r="81" spans="1:7" x14ac:dyDescent="0.2">
      <c r="A81" s="2">
        <v>39538</v>
      </c>
      <c r="B81" s="8">
        <f>'Final Data'!I81</f>
        <v>-2.5912359245692535E-2</v>
      </c>
      <c r="C81" s="8">
        <f>'3.8 Data - CAD#USD '!F82/100</f>
        <v>1.3667979991444307E-2</v>
      </c>
      <c r="D81" s="8">
        <f>'3.8 Data - CAD#USD '!G82/100</f>
        <v>1.3374629354738893E-2</v>
      </c>
      <c r="E81" s="8">
        <v>9.7597999999998736E-5</v>
      </c>
      <c r="F81" s="8">
        <v>-2.5360527000000001E-2</v>
      </c>
      <c r="G81" s="8">
        <v>5.8596340600000005E-2</v>
      </c>
    </row>
    <row r="82" spans="1:7" x14ac:dyDescent="0.2">
      <c r="A82" s="2">
        <v>39568</v>
      </c>
      <c r="B82" s="8">
        <f>'Final Data'!I82</f>
        <v>9.8885793871867408E-3</v>
      </c>
      <c r="C82" s="8">
        <f>'3.8 Data - CAD#USD '!F83/100</f>
        <v>1.3667979991444307E-2</v>
      </c>
      <c r="D82" s="8">
        <f>'3.8 Data - CAD#USD '!G83/100</f>
        <v>1.3374629354738893E-2</v>
      </c>
      <c r="E82" s="8">
        <v>-1.9295699999999805E-4</v>
      </c>
      <c r="F82" s="8">
        <v>-2.2894038999999998E-2</v>
      </c>
      <c r="G82" s="8">
        <v>6.1666211000000005E-2</v>
      </c>
    </row>
    <row r="83" spans="1:7" x14ac:dyDescent="0.2">
      <c r="A83" s="2">
        <v>39599</v>
      </c>
      <c r="B83" s="8">
        <f>'Final Data'!I83</f>
        <v>5.1027444490413781E-3</v>
      </c>
      <c r="C83" s="8">
        <f>'3.8 Data - CAD#USD '!F84/100</f>
        <v>1.3667979991444307E-2</v>
      </c>
      <c r="D83" s="8">
        <f>'3.8 Data - CAD#USD '!G84/100</f>
        <v>1.3374629354738893E-2</v>
      </c>
      <c r="E83" s="8">
        <v>-2.5286730000000012E-3</v>
      </c>
      <c r="F83" s="8">
        <v>-1.7565792E-2</v>
      </c>
      <c r="G83" s="8">
        <v>6.1666209999999999E-2</v>
      </c>
    </row>
    <row r="84" spans="1:7" x14ac:dyDescent="0.2">
      <c r="A84" s="2">
        <v>39629</v>
      </c>
      <c r="B84" s="8">
        <f>'Final Data'!I84</f>
        <v>-5.7628979143798265E-3</v>
      </c>
      <c r="C84" s="8">
        <f>'3.8 Data - CAD#USD '!F85/100</f>
        <v>1.2490132863886085E-2</v>
      </c>
      <c r="D84" s="8">
        <f>'3.8 Data - CAD#USD '!G85/100</f>
        <v>1.3343882602656398E-2</v>
      </c>
      <c r="E84" s="8">
        <v>-3.2136179999999958E-3</v>
      </c>
      <c r="F84" s="8">
        <v>-1.7014700000000001E-2</v>
      </c>
      <c r="G84" s="8">
        <v>6.1666211000000005E-2</v>
      </c>
    </row>
    <row r="85" spans="1:7" x14ac:dyDescent="0.2">
      <c r="A85" s="2">
        <v>39660</v>
      </c>
      <c r="B85" s="8">
        <f>'Final Data'!I85</f>
        <v>1.062655258073434E-2</v>
      </c>
      <c r="C85" s="8">
        <f>'3.8 Data - CAD#USD '!F86/100</f>
        <v>1.2490132863886085E-2</v>
      </c>
      <c r="D85" s="8">
        <f>'3.8 Data - CAD#USD '!G86/100</f>
        <v>1.3343882602656398E-2</v>
      </c>
      <c r="E85" s="8">
        <v>-2.1878599999999972E-3</v>
      </c>
      <c r="F85" s="8">
        <v>-1.9068643999999999E-2</v>
      </c>
      <c r="G85" s="8">
        <v>5.7457457500000003E-2</v>
      </c>
    </row>
    <row r="86" spans="1:7" x14ac:dyDescent="0.2">
      <c r="A86" s="2">
        <v>39691</v>
      </c>
      <c r="B86" s="8">
        <f>'Final Data'!I86</f>
        <v>5.6670763348354379E-2</v>
      </c>
      <c r="C86" s="8">
        <f>'3.8 Data - CAD#USD '!F87/100</f>
        <v>1.2490132863886085E-2</v>
      </c>
      <c r="D86" s="8">
        <f>'3.8 Data - CAD#USD '!G87/100</f>
        <v>1.3343882602656398E-2</v>
      </c>
      <c r="E86" s="8">
        <v>-2.8315249999999992E-3</v>
      </c>
      <c r="F86" s="8">
        <v>-1.6242894999999997E-2</v>
      </c>
      <c r="G86" s="8">
        <v>5.7457457999999996E-2</v>
      </c>
    </row>
    <row r="87" spans="1:7" x14ac:dyDescent="0.2">
      <c r="A87" s="2">
        <v>39721</v>
      </c>
      <c r="B87" s="8">
        <f>'Final Data'!I87</f>
        <v>2.6751098475058251E-2</v>
      </c>
      <c r="C87" s="8">
        <f>'3.8 Data - CAD#USD '!F88/100</f>
        <v>1.3385147276714048E-2</v>
      </c>
      <c r="D87" s="8">
        <f>'3.8 Data - CAD#USD '!G88/100</f>
        <v>1.0817820088993504E-2</v>
      </c>
      <c r="E87" s="8">
        <v>-1.3041450000000009E-3</v>
      </c>
      <c r="F87" s="8">
        <v>-1.5513436999999998E-2</v>
      </c>
      <c r="G87" s="8">
        <v>5.7457457999999996E-2</v>
      </c>
    </row>
    <row r="88" spans="1:7" x14ac:dyDescent="0.2">
      <c r="A88" s="2">
        <v>39752</v>
      </c>
      <c r="B88" s="8">
        <f>'Final Data'!I88</f>
        <v>7.7784770295783415E-2</v>
      </c>
      <c r="C88" s="8">
        <f>'3.8 Data - CAD#USD '!F89/100</f>
        <v>1.3385147276714048E-2</v>
      </c>
      <c r="D88" s="8">
        <f>'3.8 Data - CAD#USD '!G89/100</f>
        <v>1.0817820088993504E-2</v>
      </c>
      <c r="E88" s="8">
        <v>-1.0511360000000013E-3</v>
      </c>
      <c r="F88" s="8">
        <v>-1.2288340999999998E-2</v>
      </c>
      <c r="G88" s="8">
        <v>1.5859036000000003E-2</v>
      </c>
    </row>
    <row r="89" spans="1:7" x14ac:dyDescent="0.2">
      <c r="A89" s="2">
        <v>39782</v>
      </c>
      <c r="B89" s="8">
        <f>'Final Data'!I89</f>
        <v>1.0393553661100089E-2</v>
      </c>
      <c r="C89" s="8">
        <f>'3.8 Data - CAD#USD '!F90/100</f>
        <v>1.3385147276714048E-2</v>
      </c>
      <c r="D89" s="8">
        <f>'3.8 Data - CAD#USD '!G90/100</f>
        <v>1.0817820088993504E-2</v>
      </c>
      <c r="E89" s="8">
        <v>6.7673499999999721E-4</v>
      </c>
      <c r="F89" s="8">
        <v>7.7174549999999998E-3</v>
      </c>
      <c r="G89" s="8">
        <v>1.5859036000000003E-2</v>
      </c>
    </row>
    <row r="90" spans="1:7" x14ac:dyDescent="0.2">
      <c r="A90" s="2">
        <v>39813</v>
      </c>
      <c r="B90" s="8">
        <f>'Final Data'!I90</f>
        <v>-6.2066574202496422E-2</v>
      </c>
      <c r="C90" s="8">
        <f>'3.8 Data - CAD#USD '!F91/100</f>
        <v>1.029158965947031E-2</v>
      </c>
      <c r="D90" s="8">
        <f>'3.8 Data - CAD#USD '!G91/100</f>
        <v>-1.1550900774934043E-2</v>
      </c>
      <c r="E90" s="8">
        <v>5.491496000000002E-3</v>
      </c>
      <c r="F90" s="8">
        <v>1.1767652999999999E-2</v>
      </c>
      <c r="G90" s="8">
        <v>1.5859036000000003E-2</v>
      </c>
    </row>
    <row r="91" spans="1:7" x14ac:dyDescent="0.2">
      <c r="A91" s="2">
        <v>39844</v>
      </c>
      <c r="B91" s="8">
        <f>'Final Data'!I91</f>
        <v>5.7670979667282712E-2</v>
      </c>
      <c r="C91" s="8">
        <f>'3.8 Data - CAD#USD '!F92/100</f>
        <v>1.029158965947031E-2</v>
      </c>
      <c r="D91" s="8">
        <f>'3.8 Data - CAD#USD '!G92/100</f>
        <v>-1.1550900774934043E-2</v>
      </c>
      <c r="E91" s="8">
        <v>3.4561999999999982E-3</v>
      </c>
      <c r="F91" s="8">
        <v>1.2701552699999999E-2</v>
      </c>
      <c r="G91" s="8">
        <v>1.5777599999999836E-4</v>
      </c>
    </row>
    <row r="92" spans="1:7" x14ac:dyDescent="0.2">
      <c r="A92" s="2">
        <v>39872</v>
      </c>
      <c r="B92" s="8">
        <f>'Final Data'!I92</f>
        <v>2.7263194687172358E-2</v>
      </c>
      <c r="C92" s="8">
        <f>'3.8 Data - CAD#USD '!F93/100</f>
        <v>1.029158965947031E-2</v>
      </c>
      <c r="D92" s="8">
        <f>'3.8 Data - CAD#USD '!G93/100</f>
        <v>-1.1550900774934043E-2</v>
      </c>
      <c r="E92" s="8">
        <v>1.1868459999999992E-3</v>
      </c>
      <c r="F92" s="8">
        <v>1.3236802570000001E-2</v>
      </c>
      <c r="G92" s="8">
        <v>1.5777799999999953E-4</v>
      </c>
    </row>
    <row r="93" spans="1:7" x14ac:dyDescent="0.2">
      <c r="A93" s="2">
        <v>39903</v>
      </c>
      <c r="B93" s="8">
        <f>'Final Data'!I93</f>
        <v>-3.0168991720539828E-2</v>
      </c>
      <c r="C93" s="8">
        <f>'3.8 Data - CAD#USD '!F94/100</f>
        <v>-1.0748917720500191E-2</v>
      </c>
      <c r="D93" s="8">
        <f>'3.8 Data - CAD#USD '!G94/100</f>
        <v>-1.3072995670032199E-2</v>
      </c>
      <c r="E93" s="8">
        <v>8.5945100000000001E-4</v>
      </c>
      <c r="F93" s="8">
        <v>1.5102994000000002E-2</v>
      </c>
      <c r="G93" s="8">
        <v>1.577800000000007E-4</v>
      </c>
    </row>
    <row r="94" spans="1:7" x14ac:dyDescent="0.2">
      <c r="A94" s="2">
        <v>39933</v>
      </c>
      <c r="B94" s="8">
        <f>'Final Data'!I94</f>
        <v>-8.069231668810805E-3</v>
      </c>
      <c r="C94" s="8">
        <f>'3.8 Data - CAD#USD '!F95/100</f>
        <v>-1.0748917720500191E-2</v>
      </c>
      <c r="D94" s="8">
        <f>'3.8 Data - CAD#USD '!G95/100</f>
        <v>-1.3072995670032199E-2</v>
      </c>
      <c r="E94" s="8">
        <v>6.4957300000000105E-4</v>
      </c>
      <c r="F94" s="8">
        <v>9.2934942000000003E-3</v>
      </c>
      <c r="G94" s="8">
        <v>-4.0394599999999991E-3</v>
      </c>
    </row>
    <row r="95" spans="1:7" x14ac:dyDescent="0.2">
      <c r="A95" s="2">
        <v>39964</v>
      </c>
      <c r="B95" s="8">
        <f>'Final Data'!I95</f>
        <v>-6.5904267861353338E-2</v>
      </c>
      <c r="C95" s="8">
        <f>'3.8 Data - CAD#USD '!F96/100</f>
        <v>-1.0748917720500191E-2</v>
      </c>
      <c r="D95" s="8">
        <f>'3.8 Data - CAD#USD '!G96/100</f>
        <v>-1.3072995670032199E-2</v>
      </c>
      <c r="E95" s="8">
        <v>-8.9544699999999811E-4</v>
      </c>
      <c r="F95" s="8">
        <v>1.10340408E-2</v>
      </c>
      <c r="G95" s="8">
        <v>-4.0394579999999984E-3</v>
      </c>
    </row>
    <row r="96" spans="1:7" x14ac:dyDescent="0.2">
      <c r="A96" s="2">
        <v>39994</v>
      </c>
      <c r="B96" s="8">
        <f>'Final Data'!I96</f>
        <v>1.173797803862164E-2</v>
      </c>
      <c r="C96" s="8">
        <f>'3.8 Data - CAD#USD '!F97/100</f>
        <v>-1.3833952315006989E-2</v>
      </c>
      <c r="D96" s="8">
        <f>'3.8 Data - CAD#USD '!G97/100</f>
        <v>-1.4388498081299925E-2</v>
      </c>
      <c r="E96" s="8">
        <v>-2.4167709999999998E-3</v>
      </c>
      <c r="F96" s="8">
        <v>1.05509613E-2</v>
      </c>
      <c r="G96" s="8">
        <v>-4.0394579999999984E-3</v>
      </c>
    </row>
    <row r="97" spans="1:7" x14ac:dyDescent="0.2">
      <c r="A97" s="2">
        <v>40025</v>
      </c>
      <c r="B97" s="8">
        <f>'Final Data'!I97</f>
        <v>-2.2579840319361305E-2</v>
      </c>
      <c r="C97" s="8">
        <f>'3.8 Data - CAD#USD '!F98/100</f>
        <v>-1.3833952315006989E-2</v>
      </c>
      <c r="D97" s="8">
        <f>'3.8 Data - CAD#USD '!G98/100</f>
        <v>-1.4388498081299925E-2</v>
      </c>
      <c r="E97" s="8">
        <v>-9.4640199999999734E-4</v>
      </c>
      <c r="F97" s="8">
        <v>1.0055774699999999E-2</v>
      </c>
      <c r="G97" s="8">
        <v>-7.9147770000000013E-3</v>
      </c>
    </row>
    <row r="98" spans="1:7" x14ac:dyDescent="0.2">
      <c r="A98" s="2">
        <v>40056</v>
      </c>
      <c r="B98" s="8">
        <f>'Final Data'!I98</f>
        <v>-2.2973835354179019E-3</v>
      </c>
      <c r="C98" s="8">
        <f>'3.8 Data - CAD#USD '!F99/100</f>
        <v>-1.3833952315006989E-2</v>
      </c>
      <c r="D98" s="8">
        <f>'3.8 Data - CAD#USD '!G99/100</f>
        <v>-1.4388498081299925E-2</v>
      </c>
      <c r="E98" s="8">
        <v>-1.125048999999998E-3</v>
      </c>
      <c r="F98" s="8">
        <v>7.0394279999999995E-3</v>
      </c>
      <c r="G98" s="8">
        <v>-7.9147809999999992E-3</v>
      </c>
    </row>
    <row r="99" spans="1:7" x14ac:dyDescent="0.2">
      <c r="A99" s="2">
        <v>40086</v>
      </c>
      <c r="B99" s="8">
        <f>'Final Data'!I99</f>
        <v>-1.9444799795317845E-2</v>
      </c>
      <c r="C99" s="8">
        <f>'3.8 Data - CAD#USD '!F100/100</f>
        <v>-1.4431152016475927E-2</v>
      </c>
      <c r="D99" s="8">
        <f>'3.8 Data - CAD#USD '!G100/100</f>
        <v>-1.2872148311146527E-2</v>
      </c>
      <c r="E99" s="8">
        <v>-3.1093000000002035E-5</v>
      </c>
      <c r="F99" s="8">
        <v>5.987290000000001E-3</v>
      </c>
      <c r="G99" s="8">
        <v>-7.9147809999999992E-3</v>
      </c>
    </row>
    <row r="100" spans="1:7" x14ac:dyDescent="0.2">
      <c r="A100" s="2">
        <v>40117</v>
      </c>
      <c r="B100" s="8">
        <f>'Final Data'!I100</f>
        <v>-4.5662100456622112E-3</v>
      </c>
      <c r="C100" s="8">
        <f>'3.8 Data - CAD#USD '!F101/100</f>
        <v>-1.4431152016475927E-2</v>
      </c>
      <c r="D100" s="8">
        <f>'3.8 Data - CAD#USD '!G101/100</f>
        <v>-1.2872148311146527E-2</v>
      </c>
      <c r="E100" s="8">
        <v>6.2808599999999884E-4</v>
      </c>
      <c r="F100" s="8">
        <v>3.1115879000000002E-3</v>
      </c>
      <c r="G100" s="8">
        <v>2.8372300000000016E-4</v>
      </c>
    </row>
    <row r="101" spans="1:7" x14ac:dyDescent="0.2">
      <c r="A101" s="2">
        <v>40147</v>
      </c>
      <c r="B101" s="8">
        <f>'Final Data'!I101</f>
        <v>-1.9921363040629043E-2</v>
      </c>
      <c r="C101" s="8">
        <f>'3.8 Data - CAD#USD '!F102/100</f>
        <v>-1.4431152016475927E-2</v>
      </c>
      <c r="D101" s="8">
        <f>'3.8 Data - CAD#USD '!G102/100</f>
        <v>-1.2872148311146527E-2</v>
      </c>
      <c r="E101" s="8">
        <v>1.6414999999999846E-4</v>
      </c>
      <c r="F101" s="8">
        <v>-9.5221029999999988E-3</v>
      </c>
      <c r="G101" s="8">
        <v>2.8372300000000016E-4</v>
      </c>
    </row>
    <row r="102" spans="1:7" x14ac:dyDescent="0.2">
      <c r="A102" s="2">
        <v>40178</v>
      </c>
      <c r="B102" s="8">
        <f>'Final Data'!I102</f>
        <v>4.1187483284300594E-2</v>
      </c>
      <c r="C102" s="8">
        <f>'3.8 Data - CAD#USD '!F103/100</f>
        <v>-9.0858428177469294E-3</v>
      </c>
      <c r="D102" s="8">
        <f>'3.8 Data - CAD#USD '!G103/100</f>
        <v>1.0340209494338178E-2</v>
      </c>
      <c r="E102" s="8">
        <v>-1.5500019999999991E-3</v>
      </c>
      <c r="F102" s="8">
        <v>-1.4971836000000002E-2</v>
      </c>
      <c r="G102" s="8">
        <v>2.8372500000000133E-4</v>
      </c>
    </row>
    <row r="103" spans="1:7" x14ac:dyDescent="0.2">
      <c r="A103" s="2">
        <v>40209</v>
      </c>
      <c r="B103" s="8">
        <f>'Final Data'!I103</f>
        <v>2.0549704597996332E-2</v>
      </c>
      <c r="C103" s="8">
        <f>'3.8 Data - CAD#USD '!F104/100</f>
        <v>-9.0858428177469294E-3</v>
      </c>
      <c r="D103" s="8">
        <f>'3.8 Data - CAD#USD '!G104/100</f>
        <v>1.0340209494338178E-2</v>
      </c>
      <c r="E103" s="8">
        <v>-2.1911570000000013E-3</v>
      </c>
      <c r="F103" s="8">
        <v>-7.7413139999999991E-3</v>
      </c>
      <c r="G103" s="8">
        <v>-4.4894909999999965E-3</v>
      </c>
    </row>
    <row r="104" spans="1:7" x14ac:dyDescent="0.2">
      <c r="A104" s="2">
        <v>40237</v>
      </c>
      <c r="B104" s="8">
        <f>'Final Data'!I104</f>
        <v>1.1326453561540471E-2</v>
      </c>
      <c r="C104" s="8">
        <f>'3.8 Data - CAD#USD '!F105/100</f>
        <v>-9.0858428177469294E-3</v>
      </c>
      <c r="D104" s="8">
        <f>'3.8 Data - CAD#USD '!G105/100</f>
        <v>1.0340209494338178E-2</v>
      </c>
      <c r="E104" s="8">
        <v>-2.5470020000000026E-3</v>
      </c>
      <c r="F104" s="8">
        <v>-5.7377560000000027E-3</v>
      </c>
      <c r="G104" s="8">
        <v>-4.4894869999999986E-3</v>
      </c>
    </row>
    <row r="105" spans="1:7" x14ac:dyDescent="0.2">
      <c r="A105" s="2">
        <v>40268</v>
      </c>
      <c r="B105" s="8">
        <f>'Final Data'!I105</f>
        <v>8.8352414136385476E-3</v>
      </c>
      <c r="C105" s="8">
        <f>'3.8 Data - CAD#USD '!F106/100</f>
        <v>1.3986459016048473E-2</v>
      </c>
      <c r="D105" s="8">
        <f>'3.8 Data - CAD#USD '!G106/100</f>
        <v>1.4002138278837237E-2</v>
      </c>
      <c r="E105" s="8">
        <v>-2.2734710000000026E-3</v>
      </c>
      <c r="F105" s="8">
        <v>-8.8266370000000018E-3</v>
      </c>
      <c r="G105" s="8">
        <v>-4.4894869999999986E-3</v>
      </c>
    </row>
    <row r="106" spans="1:7" x14ac:dyDescent="0.2">
      <c r="A106" s="2">
        <v>40298</v>
      </c>
      <c r="B106" s="8">
        <f>'Final Data'!I106</f>
        <v>9.8680152954238494E-3</v>
      </c>
      <c r="C106" s="8">
        <f>'3.8 Data - CAD#USD '!F107/100</f>
        <v>1.3986459016048473E-2</v>
      </c>
      <c r="D106" s="8">
        <f>'3.8 Data - CAD#USD '!G107/100</f>
        <v>1.4002138278837237E-2</v>
      </c>
      <c r="E106" s="8">
        <v>-1.4460490000000005E-3</v>
      </c>
      <c r="F106" s="8">
        <v>-5.3569369999999974E-3</v>
      </c>
      <c r="G106" s="8">
        <v>-5.2518029999999967E-3</v>
      </c>
    </row>
    <row r="107" spans="1:7" x14ac:dyDescent="0.2">
      <c r="A107" s="2">
        <v>40329</v>
      </c>
      <c r="B107" s="8">
        <f>'Final Data'!I107</f>
        <v>5.7652375717601061E-2</v>
      </c>
      <c r="C107" s="8">
        <f>'3.8 Data - CAD#USD '!F108/100</f>
        <v>1.3986459016048473E-2</v>
      </c>
      <c r="D107" s="8">
        <f>'3.8 Data - CAD#USD '!G108/100</f>
        <v>1.4002138278837237E-2</v>
      </c>
      <c r="E107" s="8">
        <v>3.6414600000000074E-4</v>
      </c>
      <c r="F107" s="8">
        <v>-6.9006520000000028E-3</v>
      </c>
      <c r="G107" s="8">
        <v>-5.2517980000000011E-3</v>
      </c>
    </row>
    <row r="108" spans="1:7" x14ac:dyDescent="0.2">
      <c r="A108" s="2">
        <v>40359</v>
      </c>
      <c r="B108" s="8">
        <f>'Final Data'!I108</f>
        <v>-6.5827462755515343E-3</v>
      </c>
      <c r="C108" s="8">
        <f>'3.8 Data - CAD#USD '!F109/100</f>
        <v>1.6366506599028427E-2</v>
      </c>
      <c r="D108" s="8">
        <f>'3.8 Data - CAD#USD '!G109/100</f>
        <v>1.575888565540369E-2</v>
      </c>
      <c r="E108" s="8">
        <v>1.0667300000000025E-3</v>
      </c>
      <c r="F108" s="8">
        <v>1.1839699999999898E-4</v>
      </c>
      <c r="G108" s="8">
        <v>-5.2517980000000011E-3</v>
      </c>
    </row>
    <row r="109" spans="1:7" x14ac:dyDescent="0.2">
      <c r="A109" s="2">
        <v>40390</v>
      </c>
      <c r="B109" s="8">
        <f>'Final Data'!I109</f>
        <v>-5.2080911415949664E-2</v>
      </c>
      <c r="C109" s="8">
        <f>'3.8 Data - CAD#USD '!F110/100</f>
        <v>1.6366506599028427E-2</v>
      </c>
      <c r="D109" s="8">
        <f>'3.8 Data - CAD#USD '!G110/100</f>
        <v>1.575888565540369E-2</v>
      </c>
      <c r="E109" s="8">
        <v>2.0629999999999971E-3</v>
      </c>
      <c r="F109" s="8">
        <v>6.714514999999999E-3</v>
      </c>
      <c r="G109" s="8">
        <v>-1.7313817999999998E-2</v>
      </c>
    </row>
    <row r="110" spans="1:7" x14ac:dyDescent="0.2">
      <c r="A110" s="2">
        <v>40421</v>
      </c>
      <c r="B110" s="8">
        <f>'Final Data'!I110</f>
        <v>2.0358106450821638E-2</v>
      </c>
      <c r="C110" s="8">
        <f>'3.8 Data - CAD#USD '!F111/100</f>
        <v>1.6366506599028427E-2</v>
      </c>
      <c r="D110" s="8">
        <f>'3.8 Data - CAD#USD '!G111/100</f>
        <v>1.575888565540369E-2</v>
      </c>
      <c r="E110" s="8">
        <v>2.7175899999999985E-3</v>
      </c>
      <c r="F110" s="8">
        <v>5.9654760000000008E-3</v>
      </c>
      <c r="G110" s="8">
        <v>-1.7313813999999997E-2</v>
      </c>
    </row>
    <row r="111" spans="1:7" x14ac:dyDescent="0.2">
      <c r="A111" s="2">
        <v>40451</v>
      </c>
      <c r="B111" s="8">
        <f>'Final Data'!I111</f>
        <v>-5.3846153846153891E-2</v>
      </c>
      <c r="C111" s="8">
        <f>'3.8 Data - CAD#USD '!F112/100</f>
        <v>1.6684082506084445E-2</v>
      </c>
      <c r="D111" s="8">
        <f>'3.8 Data - CAD#USD '!G112/100</f>
        <v>1.6316868882601167E-2</v>
      </c>
      <c r="E111" s="8">
        <v>2.4463349999999996E-3</v>
      </c>
      <c r="F111" s="8">
        <v>7.1414510000000009E-3</v>
      </c>
      <c r="G111" s="8">
        <v>-1.7313817999999998E-2</v>
      </c>
    </row>
    <row r="112" spans="1:7" x14ac:dyDescent="0.2">
      <c r="A112" s="2">
        <v>40482</v>
      </c>
      <c r="B112" s="8">
        <f>'Final Data'!I112</f>
        <v>-1.8419715447154508E-2</v>
      </c>
      <c r="C112" s="8">
        <f>'3.8 Data - CAD#USD '!F113/100</f>
        <v>1.6684082506084445E-2</v>
      </c>
      <c r="D112" s="8">
        <f>'3.8 Data - CAD#USD '!G113/100</f>
        <v>1.6316868882601167E-2</v>
      </c>
      <c r="E112" s="8">
        <v>2.6104770000000021E-3</v>
      </c>
      <c r="F112" s="8">
        <v>1.0981117000000002E-2</v>
      </c>
      <c r="G112" s="8">
        <v>-7.3493699999999768E-4</v>
      </c>
    </row>
    <row r="113" spans="1:7" x14ac:dyDescent="0.2">
      <c r="A113" s="2">
        <v>40512</v>
      </c>
      <c r="B113" s="8">
        <f>'Final Data'!I113</f>
        <v>5.0731202277727476E-2</v>
      </c>
      <c r="C113" s="8">
        <f>'3.8 Data - CAD#USD '!F114/100</f>
        <v>1.6684082506084445E-2</v>
      </c>
      <c r="D113" s="8">
        <f>'3.8 Data - CAD#USD '!G114/100</f>
        <v>1.6316868882601167E-2</v>
      </c>
      <c r="E113" s="8">
        <v>2.7510460000000013E-3</v>
      </c>
      <c r="F113" s="8">
        <v>9.0851749999999992E-3</v>
      </c>
      <c r="G113" s="8">
        <v>-7.3493699999999768E-4</v>
      </c>
    </row>
    <row r="114" spans="1:7" x14ac:dyDescent="0.2">
      <c r="A114" s="2">
        <v>40543</v>
      </c>
      <c r="B114" s="8">
        <f>'Final Data'!I114</f>
        <v>-2.6604261608572443E-2</v>
      </c>
      <c r="C114" s="8">
        <f>'3.8 Data - CAD#USD '!F115/100</f>
        <v>1.6634754085340517E-2</v>
      </c>
      <c r="D114" s="8">
        <f>'3.8 Data - CAD#USD '!G115/100</f>
        <v>1.5571935213835082E-2</v>
      </c>
      <c r="E114" s="8">
        <v>-7.240409999999997E-4</v>
      </c>
      <c r="F114" s="8">
        <v>9.8855280000000011E-3</v>
      </c>
      <c r="G114" s="8">
        <v>-7.349399999999973E-4</v>
      </c>
    </row>
    <row r="115" spans="1:7" x14ac:dyDescent="0.2">
      <c r="A115" s="2">
        <v>40574</v>
      </c>
      <c r="B115" s="8">
        <f>'Final Data'!I115</f>
        <v>-1.6449449576110303E-2</v>
      </c>
      <c r="C115" s="8">
        <f>'3.8 Data - CAD#USD '!F116/100</f>
        <v>1.6634754085340517E-2</v>
      </c>
      <c r="D115" s="8">
        <f>'3.8 Data - CAD#USD '!G116/100</f>
        <v>1.5571935213835082E-2</v>
      </c>
      <c r="E115" s="8">
        <v>-1.1825520000000012E-3</v>
      </c>
      <c r="F115" s="8">
        <v>5.4447409999999995E-3</v>
      </c>
      <c r="G115" s="8">
        <v>2.1593200000000312E-4</v>
      </c>
    </row>
    <row r="116" spans="1:7" x14ac:dyDescent="0.2">
      <c r="A116" s="2">
        <v>40602</v>
      </c>
      <c r="B116" s="8">
        <f>'Final Data'!I116</f>
        <v>-1.0806638363566235E-2</v>
      </c>
      <c r="C116" s="8">
        <f>'3.8 Data - CAD#USD '!F117/100</f>
        <v>1.6634754085340517E-2</v>
      </c>
      <c r="D116" s="8">
        <f>'3.8 Data - CAD#USD '!G117/100</f>
        <v>1.5571935213835082E-2</v>
      </c>
      <c r="E116" s="8">
        <v>-1.4678499999999995E-3</v>
      </c>
      <c r="F116" s="8">
        <v>-5.4151300000000009E-4</v>
      </c>
      <c r="G116" s="8">
        <v>2.1593399999999985E-4</v>
      </c>
    </row>
    <row r="117" spans="1:7" x14ac:dyDescent="0.2">
      <c r="A117" s="2">
        <v>40633</v>
      </c>
      <c r="B117" s="8">
        <f>'Final Data'!I117</f>
        <v>-1.3395760176876071E-2</v>
      </c>
      <c r="C117" s="8">
        <f>'3.8 Data - CAD#USD '!F118/100</f>
        <v>1.606032099820193E-2</v>
      </c>
      <c r="D117" s="8">
        <f>'3.8 Data - CAD#USD '!G118/100</f>
        <v>1.4482821829050117E-2</v>
      </c>
      <c r="E117" s="8">
        <v>-1.3787409999999989E-3</v>
      </c>
      <c r="F117" s="8">
        <v>4.084379E-3</v>
      </c>
      <c r="G117" s="8">
        <v>2.1593399999999985E-4</v>
      </c>
    </row>
    <row r="118" spans="1:7" x14ac:dyDescent="0.2">
      <c r="A118" s="2">
        <v>40663</v>
      </c>
      <c r="B118" s="8">
        <f>'Final Data'!I118</f>
        <v>-3.8623780648563047E-2</v>
      </c>
      <c r="C118" s="8">
        <f>'3.8 Data - CAD#USD '!F119/100</f>
        <v>1.606032099820193E-2</v>
      </c>
      <c r="D118" s="8">
        <f>'3.8 Data - CAD#USD '!G119/100</f>
        <v>1.4482821829050117E-2</v>
      </c>
      <c r="E118" s="8">
        <v>-1.0244469999999995E-3</v>
      </c>
      <c r="F118" s="8">
        <v>3.8298129999999996E-3</v>
      </c>
      <c r="G118" s="8">
        <v>-4.6513700000000213E-4</v>
      </c>
    </row>
    <row r="119" spans="1:7" x14ac:dyDescent="0.2">
      <c r="A119" s="2">
        <v>40694</v>
      </c>
      <c r="B119" s="8">
        <f>'Final Data'!I119</f>
        <v>2.344714109419983E-2</v>
      </c>
      <c r="C119" s="8">
        <f>'3.8 Data - CAD#USD '!F120/100</f>
        <v>1.606032099820193E-2</v>
      </c>
      <c r="D119" s="8">
        <f>'3.8 Data - CAD#USD '!G120/100</f>
        <v>1.4482821829050117E-2</v>
      </c>
      <c r="E119" s="8">
        <v>7.7856000000000591E-5</v>
      </c>
      <c r="F119" s="8">
        <v>2.5753279999999991E-3</v>
      </c>
      <c r="G119" s="8">
        <v>-4.6513400000000262E-4</v>
      </c>
    </row>
    <row r="120" spans="1:7" x14ac:dyDescent="0.2">
      <c r="A120" s="2">
        <v>40724</v>
      </c>
      <c r="B120" s="8">
        <f>'Final Data'!I120</f>
        <v>-4.5551982851018673E-3</v>
      </c>
      <c r="C120" s="8">
        <f>'3.8 Data - CAD#USD '!F121/100</f>
        <v>1.5593230681243339E-2</v>
      </c>
      <c r="D120" s="8">
        <f>'3.8 Data - CAD#USD '!G121/100</f>
        <v>1.3999492838770757E-2</v>
      </c>
      <c r="E120" s="8">
        <v>8.5000000000023953E-6</v>
      </c>
      <c r="F120" s="8">
        <v>-3.9887260000000023E-3</v>
      </c>
      <c r="G120" s="8">
        <v>-4.6513700000000213E-4</v>
      </c>
    </row>
    <row r="121" spans="1:7" x14ac:dyDescent="0.2">
      <c r="A121" s="2">
        <v>40755</v>
      </c>
      <c r="B121" s="8">
        <f>'Final Data'!I121</f>
        <v>-5.3835800807535868E-3</v>
      </c>
      <c r="C121" s="8">
        <f>'3.8 Data - CAD#USD '!F122/100</f>
        <v>1.5593230681243339E-2</v>
      </c>
      <c r="D121" s="8">
        <f>'3.8 Data - CAD#USD '!G122/100</f>
        <v>1.3999492838770757E-2</v>
      </c>
      <c r="E121" s="8">
        <v>-3.227070000000021E-4</v>
      </c>
      <c r="F121" s="8">
        <v>-8.3544420000000001E-3</v>
      </c>
      <c r="G121" s="8">
        <v>5.0894089999999979E-3</v>
      </c>
    </row>
    <row r="122" spans="1:7" x14ac:dyDescent="0.2">
      <c r="A122" s="2">
        <v>40786</v>
      </c>
      <c r="B122" s="8">
        <f>'Final Data'!I122</f>
        <v>2.9769959404600654E-3</v>
      </c>
      <c r="C122" s="8">
        <f>'3.8 Data - CAD#USD '!F123/100</f>
        <v>1.5593230681243339E-2</v>
      </c>
      <c r="D122" s="8">
        <f>'3.8 Data - CAD#USD '!G123/100</f>
        <v>1.3999492838770757E-2</v>
      </c>
      <c r="E122" s="8">
        <v>1.6999509999999995E-3</v>
      </c>
      <c r="F122" s="8">
        <v>-6.6487809999999968E-3</v>
      </c>
      <c r="G122" s="8">
        <v>5.0894099999999965E-3</v>
      </c>
    </row>
    <row r="123" spans="1:7" x14ac:dyDescent="0.2">
      <c r="A123" s="2">
        <v>40816</v>
      </c>
      <c r="B123" s="8">
        <f>'Final Data'!I123</f>
        <v>5.9767943874797523E-2</v>
      </c>
      <c r="C123" s="8">
        <f>'3.8 Data - CAD#USD '!F124/100</f>
        <v>1.647724319204881E-2</v>
      </c>
      <c r="D123" s="8">
        <f>'3.8 Data - CAD#USD '!G124/100</f>
        <v>1.2477619558515134E-2</v>
      </c>
      <c r="E123" s="8">
        <v>2.4222349999999991E-3</v>
      </c>
      <c r="F123" s="8">
        <v>-5.5641850000000036E-3</v>
      </c>
      <c r="G123" s="8">
        <v>5.0894089999999979E-3</v>
      </c>
    </row>
    <row r="124" spans="1:7" x14ac:dyDescent="0.2">
      <c r="A124" s="2">
        <v>40847</v>
      </c>
      <c r="B124" s="8">
        <f>'Final Data'!I124</f>
        <v>-3.0299172501591285E-2</v>
      </c>
      <c r="C124" s="8">
        <f>'3.8 Data - CAD#USD '!F125/100</f>
        <v>1.647724319204881E-2</v>
      </c>
      <c r="D124" s="8">
        <f>'3.8 Data - CAD#USD '!G125/100</f>
        <v>1.2477619558515134E-2</v>
      </c>
      <c r="E124" s="8">
        <v>1.6740010000000005E-3</v>
      </c>
      <c r="F124" s="8">
        <v>-5.4099629999999977E-3</v>
      </c>
      <c r="G124" s="8">
        <v>3.2927609999999995E-3</v>
      </c>
    </row>
    <row r="125" spans="1:7" x14ac:dyDescent="0.2">
      <c r="A125" s="2">
        <v>40877</v>
      </c>
      <c r="B125" s="8">
        <f>'Final Data'!I125</f>
        <v>2.9014047525272334E-2</v>
      </c>
      <c r="C125" s="8">
        <f>'3.8 Data - CAD#USD '!F126/100</f>
        <v>1.647724319204881E-2</v>
      </c>
      <c r="D125" s="8">
        <f>'3.8 Data - CAD#USD '!G126/100</f>
        <v>1.2477619558515134E-2</v>
      </c>
      <c r="E125" s="8">
        <v>1.2047199999999992E-3</v>
      </c>
      <c r="F125" s="8">
        <v>-6.4769530000000006E-3</v>
      </c>
      <c r="G125" s="8">
        <v>3.2927609999999995E-3</v>
      </c>
    </row>
    <row r="126" spans="1:7" x14ac:dyDescent="0.2">
      <c r="A126" s="2">
        <v>40908</v>
      </c>
      <c r="B126" s="8">
        <f>'Final Data'!I126</f>
        <v>2.2965042102577334E-2</v>
      </c>
      <c r="C126" s="8">
        <f>'3.8 Data - CAD#USD '!F127/100</f>
        <v>1.6055621779124091E-2</v>
      </c>
      <c r="D126" s="8">
        <f>'3.8 Data - CAD#USD '!G127/100</f>
        <v>1.3649591869257151E-2</v>
      </c>
      <c r="E126" s="8">
        <v>2.356209999999992E-4</v>
      </c>
      <c r="F126" s="8">
        <v>-8.624095E-3</v>
      </c>
      <c r="G126" s="8">
        <v>3.2927609999999995E-3</v>
      </c>
    </row>
    <row r="127" spans="1:7" x14ac:dyDescent="0.2">
      <c r="A127" s="2">
        <v>40939</v>
      </c>
      <c r="B127" s="8">
        <f>'Final Data'!I127</f>
        <v>-1.1100024943876284E-2</v>
      </c>
      <c r="C127" s="8">
        <f>'3.8 Data - CAD#USD '!F128/100</f>
        <v>1.6055621779124091E-2</v>
      </c>
      <c r="D127" s="8">
        <f>'3.8 Data - CAD#USD '!G128/100</f>
        <v>1.3649591869257151E-2</v>
      </c>
      <c r="E127" s="8">
        <v>4.2650199999999972E-4</v>
      </c>
      <c r="F127" s="8">
        <v>-3.9052560000000015E-3</v>
      </c>
      <c r="G127" s="8">
        <v>-7.0427800000000046E-4</v>
      </c>
    </row>
    <row r="128" spans="1:7" x14ac:dyDescent="0.2">
      <c r="A128" s="2">
        <v>40968</v>
      </c>
      <c r="B128" s="8">
        <f>'Final Data'!I128</f>
        <v>-6.9365619876404503E-3</v>
      </c>
      <c r="C128" s="8">
        <f>'3.8 Data - CAD#USD '!F129/100</f>
        <v>1.6055621779124091E-2</v>
      </c>
      <c r="D128" s="8">
        <f>'3.8 Data - CAD#USD '!G129/100</f>
        <v>1.3649591869257151E-2</v>
      </c>
      <c r="E128" s="8">
        <v>6.2589699999999744E-4</v>
      </c>
      <c r="F128" s="8">
        <v>-2.7771649999999994E-3</v>
      </c>
      <c r="G128" s="8">
        <v>-7.0427800000000046E-4</v>
      </c>
    </row>
    <row r="129" spans="1:7" x14ac:dyDescent="0.2">
      <c r="A129" s="2">
        <v>40999</v>
      </c>
      <c r="B129" s="8">
        <f>'Final Data'!I129</f>
        <v>3.3020066040132731E-3</v>
      </c>
      <c r="C129" s="8">
        <f>'3.8 Data - CAD#USD '!F130/100</f>
        <v>1.5072142254541067E-2</v>
      </c>
      <c r="D129" s="8">
        <f>'3.8 Data - CAD#USD '!G130/100</f>
        <v>1.5380004407909754E-2</v>
      </c>
      <c r="E129" s="8">
        <v>-5.4177999999999833E-4</v>
      </c>
      <c r="F129" s="8">
        <v>-5.6776140000000018E-3</v>
      </c>
      <c r="G129" s="8">
        <v>-7.0427800000000046E-4</v>
      </c>
    </row>
    <row r="130" spans="1:7" x14ac:dyDescent="0.2">
      <c r="A130" s="2">
        <v>41029</v>
      </c>
      <c r="B130" s="8">
        <f>'Final Data'!I130</f>
        <v>-2.7848101265822642E-3</v>
      </c>
      <c r="C130" s="8">
        <f>'3.8 Data - CAD#USD '!F131/100</f>
        <v>1.5072142254541067E-2</v>
      </c>
      <c r="D130" s="8">
        <f>'3.8 Data - CAD#USD '!G131/100</f>
        <v>1.5380004407909754E-2</v>
      </c>
      <c r="E130" s="8">
        <v>4.2925600000000232E-4</v>
      </c>
      <c r="F130" s="8">
        <v>-3.5009040000000004E-3</v>
      </c>
      <c r="G130" s="8">
        <v>-1.0955236E-2</v>
      </c>
    </row>
    <row r="131" spans="1:7" x14ac:dyDescent="0.2">
      <c r="A131" s="2">
        <v>41060</v>
      </c>
      <c r="B131" s="8">
        <f>'Final Data'!I131</f>
        <v>5.407463823305414E-2</v>
      </c>
      <c r="C131" s="8">
        <f>'3.8 Data - CAD#USD '!F132/100</f>
        <v>1.5072142254541067E-2</v>
      </c>
      <c r="D131" s="8">
        <f>'3.8 Data - CAD#USD '!G132/100</f>
        <v>1.5380004407909754E-2</v>
      </c>
      <c r="E131" s="8">
        <v>1.4574580000000005E-3</v>
      </c>
      <c r="F131" s="8">
        <v>-4.8793749999999992E-3</v>
      </c>
      <c r="G131" s="8">
        <v>-1.0955230999999999E-2</v>
      </c>
    </row>
    <row r="132" spans="1:7" x14ac:dyDescent="0.2">
      <c r="A132" s="2">
        <v>41090</v>
      </c>
      <c r="B132" s="8">
        <f>'Final Data'!I132</f>
        <v>-1.6979768786127298E-2</v>
      </c>
      <c r="C132" s="8">
        <f>'3.8 Data - CAD#USD '!F133/100</f>
        <v>1.5284485248208244E-2</v>
      </c>
      <c r="D132" s="8">
        <f>'3.8 Data - CAD#USD '!G133/100</f>
        <v>1.5041879262637553E-2</v>
      </c>
      <c r="E132" s="8">
        <v>1.4070470000000013E-3</v>
      </c>
      <c r="F132" s="8">
        <v>-3.1607969999999995E-3</v>
      </c>
      <c r="G132" s="8">
        <v>-1.0955236E-2</v>
      </c>
    </row>
    <row r="133" spans="1:7" x14ac:dyDescent="0.2">
      <c r="A133" s="2">
        <v>41121</v>
      </c>
      <c r="B133" s="8">
        <f>'Final Data'!I133</f>
        <v>1.2372902119318942E-2</v>
      </c>
      <c r="C133" s="8">
        <f>'3.8 Data - CAD#USD '!F134/100</f>
        <v>1.5284485248208244E-2</v>
      </c>
      <c r="D133" s="8">
        <f>'3.8 Data - CAD#USD '!G134/100</f>
        <v>1.5041879262637553E-2</v>
      </c>
      <c r="E133" s="8">
        <v>1.5804280000000005E-3</v>
      </c>
      <c r="F133" s="8">
        <v>-2.4890649999999991E-3</v>
      </c>
      <c r="G133" s="8">
        <v>-1.3542309000000001E-2</v>
      </c>
    </row>
    <row r="134" spans="1:7" x14ac:dyDescent="0.2">
      <c r="A134" s="2">
        <v>41152</v>
      </c>
      <c r="B134" s="8">
        <f>'Final Data'!I134</f>
        <v>-1.7303969022265331E-2</v>
      </c>
      <c r="C134" s="8">
        <f>'3.8 Data - CAD#USD '!F135/100</f>
        <v>1.5284485248208244E-2</v>
      </c>
      <c r="D134" s="8">
        <f>'3.8 Data - CAD#USD '!G135/100</f>
        <v>1.5041879262637553E-2</v>
      </c>
      <c r="E134" s="8">
        <v>1.5707390000000009E-3</v>
      </c>
      <c r="F134" s="8">
        <v>-3.5369519999999999E-3</v>
      </c>
      <c r="G134" s="8">
        <v>-1.3542304999999999E-2</v>
      </c>
    </row>
    <row r="135" spans="1:7" x14ac:dyDescent="0.2">
      <c r="A135" s="2">
        <v>41182</v>
      </c>
      <c r="B135" s="8">
        <f>'Final Data'!I135</f>
        <v>-1.5638468168944663E-2</v>
      </c>
      <c r="C135" s="8">
        <f>'3.8 Data - CAD#USD '!F136/100</f>
        <v>1.3247141094354892E-2</v>
      </c>
      <c r="D135" s="8">
        <f>'3.8 Data - CAD#USD '!G136/100</f>
        <v>1.5288797244473629E-2</v>
      </c>
      <c r="E135" s="8">
        <v>1.3037879999999991E-3</v>
      </c>
      <c r="F135" s="8">
        <v>-7.8789080000000004E-3</v>
      </c>
      <c r="G135" s="8">
        <v>-1.3542304999999999E-2</v>
      </c>
    </row>
    <row r="136" spans="1:7" x14ac:dyDescent="0.2">
      <c r="A136" s="2">
        <v>41213</v>
      </c>
      <c r="B136" s="8">
        <f>'Final Data'!I136</f>
        <v>-2.5018764073049814E-4</v>
      </c>
      <c r="C136" s="8">
        <f>'3.8 Data - CAD#USD '!F137/100</f>
        <v>1.3247141094354892E-2</v>
      </c>
      <c r="D136" s="8">
        <f>'3.8 Data - CAD#USD '!G137/100</f>
        <v>1.5288797244473629E-2</v>
      </c>
      <c r="E136" s="8">
        <v>8.6995299999999883E-4</v>
      </c>
      <c r="F136" s="8">
        <v>-1.0804218999999999E-2</v>
      </c>
      <c r="G136" s="8">
        <v>-1.3149836999999999E-2</v>
      </c>
    </row>
    <row r="137" spans="1:7" x14ac:dyDescent="0.2">
      <c r="A137" s="2">
        <v>41243</v>
      </c>
      <c r="B137" s="8">
        <f>'Final Data'!I137</f>
        <v>2.8778778778779275E-3</v>
      </c>
      <c r="C137" s="8">
        <f>'3.8 Data - CAD#USD '!F138/100</f>
        <v>1.3247141094354892E-2</v>
      </c>
      <c r="D137" s="8">
        <f>'3.8 Data - CAD#USD '!G138/100</f>
        <v>1.5288797244473629E-2</v>
      </c>
      <c r="E137" s="8">
        <v>9.1971599999999935E-4</v>
      </c>
      <c r="F137" s="8">
        <v>-8.8691856999999989E-3</v>
      </c>
      <c r="G137" s="8">
        <v>-1.3149836999999999E-2</v>
      </c>
    </row>
    <row r="138" spans="1:7" x14ac:dyDescent="0.2">
      <c r="A138" s="2">
        <v>41274</v>
      </c>
      <c r="B138" s="8">
        <f>'Final Data'!I138</f>
        <v>-4.7411104179664338E-3</v>
      </c>
      <c r="C138" s="8">
        <f>'3.8 Data - CAD#USD '!F139/100</f>
        <v>1.2010812592357294E-2</v>
      </c>
      <c r="D138" s="8">
        <f>'3.8 Data - CAD#USD '!G139/100</f>
        <v>1.3665287652515765E-2</v>
      </c>
      <c r="E138" s="8">
        <v>6.2254899999999893E-4</v>
      </c>
      <c r="F138" s="8">
        <v>-7.6610913999999994E-3</v>
      </c>
      <c r="G138" s="8">
        <v>-1.3149833000000001E-2</v>
      </c>
    </row>
    <row r="139" spans="1:7" x14ac:dyDescent="0.2">
      <c r="A139" s="2">
        <v>41305</v>
      </c>
      <c r="B139" s="8">
        <f>'Final Data'!I139</f>
        <v>-7.0201830262003545E-3</v>
      </c>
      <c r="C139" s="8">
        <f>'3.8 Data - CAD#USD '!F140/100</f>
        <v>1.2010812592357294E-2</v>
      </c>
      <c r="D139" s="8">
        <f>'3.8 Data - CAD#USD '!G140/100</f>
        <v>1.3665287652515765E-2</v>
      </c>
      <c r="E139" s="8">
        <v>4.0423799999999898E-4</v>
      </c>
      <c r="F139" s="8">
        <v>-1.1902349999999999E-2</v>
      </c>
      <c r="G139" s="8">
        <v>-1.0376441E-2</v>
      </c>
    </row>
    <row r="140" spans="1:7" x14ac:dyDescent="0.2">
      <c r="A140" s="2">
        <v>41333</v>
      </c>
      <c r="B140" s="8">
        <f>'Final Data'!I140</f>
        <v>3.4591591970710885E-2</v>
      </c>
      <c r="C140" s="8">
        <f>'3.8 Data - CAD#USD '!F141/100</f>
        <v>1.2010812592357294E-2</v>
      </c>
      <c r="D140" s="8">
        <f>'3.8 Data - CAD#USD '!G141/100</f>
        <v>1.3665287652515765E-2</v>
      </c>
      <c r="E140" s="8">
        <v>7.4994999999999928E-5</v>
      </c>
      <c r="F140" s="8">
        <v>-7.825478999999998E-3</v>
      </c>
      <c r="G140" s="8">
        <v>-1.0376441E-2</v>
      </c>
    </row>
    <row r="141" spans="1:7" x14ac:dyDescent="0.2">
      <c r="A141" s="2">
        <v>41364</v>
      </c>
      <c r="B141" s="8">
        <f>'Final Data'!I141</f>
        <v>1.549725442342887E-2</v>
      </c>
      <c r="C141" s="8">
        <f>'3.8 Data - CAD#USD '!F142/100</f>
        <v>1.3698001733164237E-2</v>
      </c>
      <c r="D141" s="8">
        <f>'3.8 Data - CAD#USD '!G142/100</f>
        <v>1.39262929005061E-2</v>
      </c>
      <c r="E141" s="8">
        <v>-8.0389999999999965E-4</v>
      </c>
      <c r="F141" s="8">
        <v>-4.4878119999999999E-3</v>
      </c>
      <c r="G141" s="8">
        <v>-1.0376441E-2</v>
      </c>
    </row>
    <row r="142" spans="1:7" x14ac:dyDescent="0.2">
      <c r="A142" s="2">
        <v>41394</v>
      </c>
      <c r="B142" s="8">
        <f>'Final Data'!I142</f>
        <v>-1.7664023071377058E-2</v>
      </c>
      <c r="C142" s="8">
        <f>'3.8 Data - CAD#USD '!F143/100</f>
        <v>1.3698001733164237E-2</v>
      </c>
      <c r="D142" s="8">
        <f>'3.8 Data - CAD#USD '!G143/100</f>
        <v>1.39262929005061E-2</v>
      </c>
      <c r="E142" s="8">
        <v>2.3800000000000045E-4</v>
      </c>
      <c r="F142" s="8">
        <v>-8.1065626000000005E-3</v>
      </c>
      <c r="G142" s="8">
        <v>-1.1754090999999999E-2</v>
      </c>
    </row>
    <row r="143" spans="1:7" x14ac:dyDescent="0.2">
      <c r="A143" s="2">
        <v>41425</v>
      </c>
      <c r="B143" s="8">
        <f>'Final Data'!I143</f>
        <v>1.847094801223248E-2</v>
      </c>
      <c r="C143" s="8">
        <f>'3.8 Data - CAD#USD '!F144/100</f>
        <v>1.3698001733164237E-2</v>
      </c>
      <c r="D143" s="8">
        <f>'3.8 Data - CAD#USD '!G144/100</f>
        <v>1.39262929005061E-2</v>
      </c>
      <c r="E143" s="8">
        <v>-1.4708699999999909E-4</v>
      </c>
      <c r="F143" s="8">
        <v>-7.3195230000000014E-3</v>
      </c>
      <c r="G143" s="8">
        <v>-1.1754085999999999E-2</v>
      </c>
    </row>
    <row r="144" spans="1:7" x14ac:dyDescent="0.2">
      <c r="A144" s="2">
        <v>41455</v>
      </c>
      <c r="B144" s="8">
        <f>'Final Data'!I144</f>
        <v>-1.4412683161182385E-3</v>
      </c>
      <c r="C144" s="8">
        <f>'3.8 Data - CAD#USD '!F145/100</f>
        <v>1.4135029345586834E-2</v>
      </c>
      <c r="D144" s="8">
        <f>'3.8 Data - CAD#USD '!G145/100</f>
        <v>1.3608069209377316E-2</v>
      </c>
      <c r="E144" s="8">
        <v>-4.6675000000000021E-4</v>
      </c>
      <c r="F144" s="8">
        <v>-5.6068380000000003E-3</v>
      </c>
      <c r="G144" s="8">
        <v>-1.1754085999999999E-2</v>
      </c>
    </row>
    <row r="145" spans="1:7" x14ac:dyDescent="0.2">
      <c r="A145" s="2">
        <v>41486</v>
      </c>
      <c r="B145" s="8">
        <f>'Final Data'!I145</f>
        <v>-2.0327159008900621E-2</v>
      </c>
      <c r="C145" s="8">
        <f>'3.8 Data - CAD#USD '!F146/100</f>
        <v>1.4135029345586834E-2</v>
      </c>
      <c r="D145" s="8">
        <f>'3.8 Data - CAD#USD '!G146/100</f>
        <v>1.3608069209377316E-2</v>
      </c>
      <c r="E145" s="8">
        <v>-1.1646409999999997E-3</v>
      </c>
      <c r="F145" s="8">
        <v>-5.653295E-3</v>
      </c>
      <c r="G145" s="8">
        <v>-9.2648869999999977E-3</v>
      </c>
    </row>
    <row r="146" spans="1:7" x14ac:dyDescent="0.2">
      <c r="A146" s="2">
        <v>41517</v>
      </c>
      <c r="B146" s="8">
        <f>'Final Data'!I146</f>
        <v>7.857581338244329E-3</v>
      </c>
      <c r="C146" s="8">
        <f>'3.8 Data - CAD#USD '!F147/100</f>
        <v>1.4135029345586834E-2</v>
      </c>
      <c r="D146" s="8">
        <f>'3.8 Data - CAD#USD '!G147/100</f>
        <v>1.3608069209377316E-2</v>
      </c>
      <c r="E146" s="8">
        <v>-1.2179140000000022E-3</v>
      </c>
      <c r="F146" s="8">
        <v>-5.5277540000000002E-3</v>
      </c>
      <c r="G146" s="8">
        <v>-9.2648839999999975E-3</v>
      </c>
    </row>
    <row r="147" spans="1:7" x14ac:dyDescent="0.2">
      <c r="A147" s="2">
        <v>41547</v>
      </c>
      <c r="B147" s="8">
        <f>'Final Data'!I147</f>
        <v>-2.2779875746132348E-2</v>
      </c>
      <c r="C147" s="8">
        <f>'3.8 Data - CAD#USD '!F148/100</f>
        <v>1.5213484974372532E-2</v>
      </c>
      <c r="D147" s="8">
        <f>'3.8 Data - CAD#USD '!G148/100</f>
        <v>1.4792742058515648E-2</v>
      </c>
      <c r="E147" s="8">
        <v>-1.049650999999998E-3</v>
      </c>
      <c r="F147" s="8">
        <v>-1.1032264000000003E-3</v>
      </c>
      <c r="G147" s="8">
        <v>-9.2648839999999975E-3</v>
      </c>
    </row>
    <row r="148" spans="1:7" x14ac:dyDescent="0.2">
      <c r="A148" s="2">
        <v>41578</v>
      </c>
      <c r="B148" s="8">
        <f>'Final Data'!I148</f>
        <v>-3.7397157816007403E-4</v>
      </c>
      <c r="C148" s="8">
        <f>'3.8 Data - CAD#USD '!F149/100</f>
        <v>1.5213484974372532E-2</v>
      </c>
      <c r="D148" s="8">
        <f>'3.8 Data - CAD#USD '!G149/100</f>
        <v>1.4792742058515648E-2</v>
      </c>
      <c r="E148" s="8">
        <v>-7.9395300000000284E-4</v>
      </c>
      <c r="F148" s="8">
        <v>-2.2213595000000006E-3</v>
      </c>
      <c r="G148" s="8">
        <v>-1.3767561000000001E-2</v>
      </c>
    </row>
    <row r="149" spans="1:7" x14ac:dyDescent="0.2">
      <c r="A149" s="2">
        <v>41608</v>
      </c>
      <c r="B149" s="8">
        <f>'Final Data'!I149</f>
        <v>6.1104875919691867E-3</v>
      </c>
      <c r="C149" s="8">
        <f>'3.8 Data - CAD#USD '!F150/100</f>
        <v>1.5213484974372532E-2</v>
      </c>
      <c r="D149" s="8">
        <f>'3.8 Data - CAD#USD '!G150/100</f>
        <v>1.4792742058515648E-2</v>
      </c>
      <c r="E149" s="8">
        <v>-1.5847459999999991E-3</v>
      </c>
      <c r="F149" s="8">
        <v>-3.3197340000000008E-3</v>
      </c>
      <c r="G149" s="8">
        <v>-1.3767561000000001E-2</v>
      </c>
    </row>
    <row r="150" spans="1:7" x14ac:dyDescent="0.2">
      <c r="A150" s="2">
        <v>41639</v>
      </c>
      <c r="B150" s="8">
        <f>'Final Data'!I150</f>
        <v>-8.0565195835399801E-3</v>
      </c>
      <c r="C150" s="8">
        <f>'3.8 Data - CAD#USD '!F151/100</f>
        <v>1.6363268227969449E-2</v>
      </c>
      <c r="D150" s="8">
        <f>'3.8 Data - CAD#USD '!G151/100</f>
        <v>1.588610272560553E-2</v>
      </c>
      <c r="E150" s="8">
        <v>-2.1802859999999979E-3</v>
      </c>
      <c r="F150" s="8">
        <v>-2.0137400000000017E-3</v>
      </c>
      <c r="G150" s="8">
        <v>-1.3767561000000001E-2</v>
      </c>
    </row>
    <row r="151" spans="1:7" x14ac:dyDescent="0.2">
      <c r="A151" s="2">
        <v>41670</v>
      </c>
      <c r="B151" s="8">
        <f>'Final Data'!I151</f>
        <v>1.5994002249156581E-2</v>
      </c>
      <c r="C151" s="8">
        <f>'3.8 Data - CAD#USD '!F152/100</f>
        <v>1.6363268227969449E-2</v>
      </c>
      <c r="D151" s="8">
        <f>'3.8 Data - CAD#USD '!G152/100</f>
        <v>1.588610272560553E-2</v>
      </c>
      <c r="E151" s="8">
        <v>-3.1103349999999975E-3</v>
      </c>
      <c r="F151" s="8">
        <v>-8.3556900000000042E-4</v>
      </c>
      <c r="G151" s="8">
        <v>-2.9039100000000009E-3</v>
      </c>
    </row>
    <row r="152" spans="1:7" x14ac:dyDescent="0.2">
      <c r="A152" s="2">
        <v>41698</v>
      </c>
      <c r="B152" s="8">
        <f>'Final Data'!I152</f>
        <v>-1.9923748616406403E-2</v>
      </c>
      <c r="C152" s="8">
        <f>'3.8 Data - CAD#USD '!F153/100</f>
        <v>1.6363268227969449E-2</v>
      </c>
      <c r="D152" s="8">
        <f>'3.8 Data - CAD#USD '!G153/100</f>
        <v>1.588610272560553E-2</v>
      </c>
      <c r="E152" s="8">
        <v>-2.6501110000000019E-3</v>
      </c>
      <c r="F152" s="8">
        <v>1.8661199999999933E-4</v>
      </c>
      <c r="G152" s="8">
        <v>-2.903912000000002E-3</v>
      </c>
    </row>
    <row r="153" spans="1:7" x14ac:dyDescent="0.2">
      <c r="A153" s="2">
        <v>41729</v>
      </c>
      <c r="B153" s="8">
        <f>'Final Data'!I153</f>
        <v>5.144936629439034E-3</v>
      </c>
      <c r="C153" s="8">
        <f>'3.8 Data - CAD#USD '!F154/100</f>
        <v>1.5378989451004316E-2</v>
      </c>
      <c r="D153" s="8">
        <f>'3.8 Data - CAD#USD '!G154/100</f>
        <v>1.3839694401963936E-2</v>
      </c>
      <c r="E153" s="8">
        <v>-2.6061460000000023E-3</v>
      </c>
      <c r="F153" s="8">
        <v>-2.2833230000000016E-3</v>
      </c>
      <c r="G153" s="8">
        <v>-2.9039100000000009E-3</v>
      </c>
    </row>
    <row r="154" spans="1:7" x14ac:dyDescent="0.2">
      <c r="A154" s="2">
        <v>41759</v>
      </c>
      <c r="B154" s="8">
        <f>'Final Data'!I154</f>
        <v>-7.8651685393257859E-3</v>
      </c>
      <c r="C154" s="8">
        <f>'3.8 Data - CAD#USD '!F155/100</f>
        <v>1.5378989451004316E-2</v>
      </c>
      <c r="D154" s="8">
        <f>'3.8 Data - CAD#USD '!G155/100</f>
        <v>1.3839694401963936E-2</v>
      </c>
      <c r="E154" s="8">
        <v>-2.4460479999999984E-3</v>
      </c>
      <c r="F154" s="8">
        <v>1.9254449999999989E-3</v>
      </c>
      <c r="G154" s="8">
        <v>-6.4786400000000017E-4</v>
      </c>
    </row>
    <row r="155" spans="1:7" x14ac:dyDescent="0.2">
      <c r="A155" s="2">
        <v>41790</v>
      </c>
      <c r="B155" s="8">
        <f>'Final Data'!I155</f>
        <v>1.1325028312570854E-2</v>
      </c>
      <c r="C155" s="8">
        <f>'3.8 Data - CAD#USD '!F156/100</f>
        <v>1.5378989451004316E-2</v>
      </c>
      <c r="D155" s="8">
        <f>'3.8 Data - CAD#USD '!G156/100</f>
        <v>1.3839694401963936E-2</v>
      </c>
      <c r="E155" s="8">
        <v>-2.4047130000000028E-3</v>
      </c>
      <c r="F155" s="8">
        <v>1.2250519999999999E-3</v>
      </c>
      <c r="G155" s="8">
        <v>-6.4786400000000017E-4</v>
      </c>
    </row>
    <row r="156" spans="1:7" x14ac:dyDescent="0.2">
      <c r="A156" s="2">
        <v>41820</v>
      </c>
      <c r="B156" s="8">
        <f>'Final Data'!I156</f>
        <v>-7.3410476545975288E-3</v>
      </c>
      <c r="C156" s="8">
        <f>'3.8 Data - CAD#USD '!F157/100</f>
        <v>1.584735804333148E-2</v>
      </c>
      <c r="D156" s="8">
        <f>'3.8 Data - CAD#USD '!G157/100</f>
        <v>1.545165694081365E-2</v>
      </c>
      <c r="E156" s="8">
        <v>-3.0060459999999979E-3</v>
      </c>
      <c r="F156" s="8">
        <v>2.2487759999999966E-3</v>
      </c>
      <c r="G156" s="8">
        <v>-6.4786400000000017E-4</v>
      </c>
    </row>
    <row r="157" spans="1:7" x14ac:dyDescent="0.2">
      <c r="A157" s="2">
        <v>41851</v>
      </c>
      <c r="B157" s="8">
        <f>'Final Data'!I157</f>
        <v>2.1057909250438614E-2</v>
      </c>
      <c r="C157" s="8">
        <f>'3.8 Data - CAD#USD '!F158/100</f>
        <v>1.584735804333148E-2</v>
      </c>
      <c r="D157" s="8">
        <f>'3.8 Data - CAD#USD '!G158/100</f>
        <v>1.545165694081365E-2</v>
      </c>
      <c r="E157" s="8">
        <v>-3.2319120000000013E-3</v>
      </c>
      <c r="F157" s="8">
        <v>1.4302609999999993E-3</v>
      </c>
      <c r="G157" s="8">
        <v>1.0705109999999984E-3</v>
      </c>
    </row>
    <row r="158" spans="1:7" x14ac:dyDescent="0.2">
      <c r="A158" s="2">
        <v>41882</v>
      </c>
      <c r="B158" s="8">
        <f>'Final Data'!I158</f>
        <v>1.5835993125460426E-2</v>
      </c>
      <c r="C158" s="8">
        <f>'3.8 Data - CAD#USD '!F159/100</f>
        <v>1.584735804333148E-2</v>
      </c>
      <c r="D158" s="8">
        <f>'3.8 Data - CAD#USD '!G159/100</f>
        <v>1.545165694081365E-2</v>
      </c>
      <c r="E158" s="8">
        <v>-3.4448530000000012E-3</v>
      </c>
      <c r="F158" s="8">
        <v>4.0043619999999992E-3</v>
      </c>
      <c r="G158" s="8">
        <v>1.0705109999999984E-3</v>
      </c>
    </row>
    <row r="159" spans="1:7" x14ac:dyDescent="0.2">
      <c r="A159" s="2">
        <v>41912</v>
      </c>
      <c r="B159" s="8">
        <f>'Final Data'!I159</f>
        <v>3.8549848942598157E-2</v>
      </c>
      <c r="C159" s="8">
        <f>'3.8 Data - CAD#USD '!F160/100</f>
        <v>1.6029996851660469E-2</v>
      </c>
      <c r="D159" s="8">
        <f>'3.8 Data - CAD#USD '!G160/100</f>
        <v>1.5952711547205053E-2</v>
      </c>
      <c r="E159" s="8">
        <v>-3.421902000000001E-3</v>
      </c>
      <c r="F159" s="8">
        <v>4.2805430000000012E-3</v>
      </c>
      <c r="G159" s="8">
        <v>1.0705109999999984E-3</v>
      </c>
    </row>
    <row r="160" spans="1:7" x14ac:dyDescent="0.2">
      <c r="A160" s="2">
        <v>41943</v>
      </c>
      <c r="B160" s="8">
        <f>'Final Data'!I160</f>
        <v>1.1403304631138049E-2</v>
      </c>
      <c r="C160" s="8">
        <f>'3.8 Data - CAD#USD '!F161/100</f>
        <v>1.6029996851660469E-2</v>
      </c>
      <c r="D160" s="8">
        <f>'3.8 Data - CAD#USD '!G161/100</f>
        <v>1.5952711547205053E-2</v>
      </c>
      <c r="E160" s="8">
        <v>-2.7689980000000025E-3</v>
      </c>
      <c r="F160" s="8">
        <v>7.4818919999999987E-3</v>
      </c>
      <c r="G160" s="8">
        <v>-6.2613129999999993E-3</v>
      </c>
    </row>
    <row r="161" spans="1:7" x14ac:dyDescent="0.2">
      <c r="A161" s="2">
        <v>41973</v>
      </c>
      <c r="B161" s="8">
        <f>'Final Data'!I161</f>
        <v>1.6566958122411386E-2</v>
      </c>
      <c r="C161" s="8">
        <f>'3.8 Data - CAD#USD '!F162/100</f>
        <v>1.6029996851660469E-2</v>
      </c>
      <c r="D161" s="8">
        <f>'3.8 Data - CAD#USD '!G162/100</f>
        <v>1.5952711547205053E-2</v>
      </c>
      <c r="E161" s="8">
        <v>-3.0736870000000003E-3</v>
      </c>
      <c r="F161" s="8">
        <v>7.9768159999999994E-3</v>
      </c>
      <c r="G161" s="8">
        <v>-6.2613129999999993E-3</v>
      </c>
    </row>
    <row r="162" spans="1:7" x14ac:dyDescent="0.2">
      <c r="A162" s="2">
        <v>42004</v>
      </c>
      <c r="B162" s="8">
        <f>'Final Data'!I162</f>
        <v>2.161611588954274E-2</v>
      </c>
      <c r="C162" s="8">
        <f>'3.8 Data - CAD#USD '!F163/100</f>
        <v>1.5544947990598896E-2</v>
      </c>
      <c r="D162" s="8">
        <f>'3.8 Data - CAD#USD '!G163/100</f>
        <v>1.5447045374331322E-2</v>
      </c>
      <c r="E162" s="8">
        <v>-3.5564960000000001E-3</v>
      </c>
      <c r="F162" s="8">
        <v>8.8409430000000004E-3</v>
      </c>
      <c r="G162" s="8">
        <v>-6.2613129999999993E-3</v>
      </c>
    </row>
    <row r="163" spans="1:7" x14ac:dyDescent="0.2">
      <c r="A163" s="2">
        <v>42035</v>
      </c>
      <c r="B163" s="8">
        <f>'Final Data'!I163</f>
        <v>5.0182784978398155E-2</v>
      </c>
      <c r="C163" s="8">
        <f>'3.8 Data - CAD#USD '!F164/100</f>
        <v>1.5544947990598896E-2</v>
      </c>
      <c r="D163" s="8">
        <f>'3.8 Data - CAD#USD '!G164/100</f>
        <v>1.5447045374331322E-2</v>
      </c>
      <c r="E163" s="8">
        <v>-3.3704500000000005E-3</v>
      </c>
      <c r="F163" s="8">
        <v>1.1984547299999999E-2</v>
      </c>
      <c r="G163" s="8">
        <v>-1.6933614999999999E-2</v>
      </c>
    </row>
    <row r="164" spans="1:7" x14ac:dyDescent="0.2">
      <c r="A164" s="2">
        <v>42063</v>
      </c>
      <c r="B164" s="8">
        <f>'Final Data'!I164</f>
        <v>5.4852320675105063E-3</v>
      </c>
      <c r="C164" s="8">
        <f>'3.8 Data - CAD#USD '!F165/100</f>
        <v>1.5544947990598896E-2</v>
      </c>
      <c r="D164" s="8">
        <f>'3.8 Data - CAD#USD '!G165/100</f>
        <v>1.5447045374331322E-2</v>
      </c>
      <c r="E164" s="8">
        <v>-5.9045789999999983E-3</v>
      </c>
      <c r="F164" s="8">
        <v>1.0524376300000001E-2</v>
      </c>
      <c r="G164" s="8">
        <v>-1.6933614999999999E-2</v>
      </c>
    </row>
    <row r="165" spans="1:7" x14ac:dyDescent="0.2">
      <c r="A165" s="2">
        <v>42094</v>
      </c>
      <c r="B165" s="8">
        <f>'Final Data'!I165</f>
        <v>3.1892572387746607E-2</v>
      </c>
      <c r="C165" s="8">
        <f>'3.8 Data - CAD#USD '!F166/100</f>
        <v>1.4441484987818453E-2</v>
      </c>
      <c r="D165" s="8">
        <f>'3.8 Data - CAD#USD '!G166/100</f>
        <v>1.7064673716631083E-2</v>
      </c>
      <c r="E165" s="8">
        <v>-6.1784499999999994E-3</v>
      </c>
      <c r="F165" s="8">
        <v>1.307171367E-2</v>
      </c>
      <c r="G165" s="8">
        <v>-1.6933614999999999E-2</v>
      </c>
    </row>
    <row r="166" spans="1:7" x14ac:dyDescent="0.2">
      <c r="A166" s="2">
        <v>42124</v>
      </c>
      <c r="B166" s="8">
        <f>'Final Data'!I166</f>
        <v>-3.8226921512810139E-2</v>
      </c>
      <c r="C166" s="8">
        <f>'3.8 Data - CAD#USD '!F167/100</f>
        <v>1.4441484987818453E-2</v>
      </c>
      <c r="D166" s="8">
        <f>'3.8 Data - CAD#USD '!G167/100</f>
        <v>1.7064673716631083E-2</v>
      </c>
      <c r="E166" s="8">
        <v>-5.0892819999999997E-3</v>
      </c>
      <c r="F166" s="8">
        <v>7.4403799999999999E-3</v>
      </c>
      <c r="G166" s="8">
        <v>-1.1793833999999998E-2</v>
      </c>
    </row>
    <row r="167" spans="1:7" x14ac:dyDescent="0.2">
      <c r="A167" s="2">
        <v>42155</v>
      </c>
      <c r="B167" s="8">
        <f>'Final Data'!I167</f>
        <v>2.4418604651162815E-2</v>
      </c>
      <c r="C167" s="8">
        <f>'3.8 Data - CAD#USD '!F168/100</f>
        <v>1.4441484987818453E-2</v>
      </c>
      <c r="D167" s="8">
        <f>'3.8 Data - CAD#USD '!G168/100</f>
        <v>1.7064673716631083E-2</v>
      </c>
      <c r="E167" s="8">
        <v>-4.3755000000000009E-3</v>
      </c>
      <c r="F167" s="8">
        <v>9.2419242399999994E-3</v>
      </c>
      <c r="G167" s="8">
        <v>-1.1793833999999998E-2</v>
      </c>
    </row>
    <row r="168" spans="1:7" x14ac:dyDescent="0.2">
      <c r="A168" s="2">
        <v>42185</v>
      </c>
      <c r="B168" s="8">
        <f>'Final Data'!I168</f>
        <v>-1.4755959137343852E-2</v>
      </c>
      <c r="C168" s="8">
        <f>'3.8 Data - CAD#USD '!F169/100</f>
        <v>1.2196737235520472E-2</v>
      </c>
      <c r="D168" s="8">
        <f>'3.8 Data - CAD#USD '!G169/100</f>
        <v>1.6234937679949296E-2</v>
      </c>
      <c r="E168" s="8">
        <v>-5.7678589999999976E-3</v>
      </c>
      <c r="F168" s="8">
        <v>9.3685880000000006E-3</v>
      </c>
      <c r="G168" s="8">
        <v>-1.1793833999999998E-2</v>
      </c>
    </row>
    <row r="169" spans="1:7" x14ac:dyDescent="0.2">
      <c r="A169" s="2">
        <v>42216</v>
      </c>
      <c r="B169" s="8">
        <f>'Final Data'!I169</f>
        <v>1.9480519480519473E-2</v>
      </c>
      <c r="C169" s="8">
        <f>'3.8 Data - CAD#USD '!F170/100</f>
        <v>1.2196737235520472E-2</v>
      </c>
      <c r="D169" s="8">
        <f>'3.8 Data - CAD#USD '!G170/100</f>
        <v>1.6234937679949296E-2</v>
      </c>
      <c r="E169" s="8">
        <v>-7.399631000000002E-3</v>
      </c>
      <c r="F169" s="8">
        <v>1.1299671000000001E-2</v>
      </c>
      <c r="G169" s="8">
        <v>-7.4573960000000024E-3</v>
      </c>
    </row>
    <row r="170" spans="1:7" x14ac:dyDescent="0.2">
      <c r="A170" s="2">
        <v>42247</v>
      </c>
      <c r="B170" s="8">
        <f>'Final Data'!I170</f>
        <v>-1.561536881035556E-2</v>
      </c>
      <c r="C170" s="8">
        <f>'3.8 Data - CAD#USD '!F171/100</f>
        <v>1.2196737235520472E-2</v>
      </c>
      <c r="D170" s="8">
        <f>'3.8 Data - CAD#USD '!G171/100</f>
        <v>1.6234937679949296E-2</v>
      </c>
      <c r="E170" s="8">
        <v>-7.6322860000000011E-3</v>
      </c>
      <c r="F170" s="8">
        <v>1.0335889900000001E-2</v>
      </c>
      <c r="G170" s="8">
        <v>-7.4573960000000024E-3</v>
      </c>
    </row>
    <row r="171" spans="1:7" x14ac:dyDescent="0.2">
      <c r="A171" s="2">
        <v>42277</v>
      </c>
      <c r="B171" s="8">
        <f>'Final Data'!I171</f>
        <v>5.5312043414736086E-3</v>
      </c>
      <c r="C171" s="8">
        <f>'3.8 Data - CAD#USD '!F172/100</f>
        <v>1.0669989011740225E-2</v>
      </c>
      <c r="D171" s="8">
        <f>'3.8 Data - CAD#USD '!G172/100</f>
        <v>1.5106366334405343E-2</v>
      </c>
      <c r="E171" s="8">
        <v>-6.8620980000000005E-3</v>
      </c>
      <c r="F171" s="8">
        <v>1.0253760089999999E-2</v>
      </c>
      <c r="G171" s="8">
        <v>-7.4573960000000024E-3</v>
      </c>
    </row>
    <row r="172" spans="1:7" x14ac:dyDescent="0.2">
      <c r="A172" s="2">
        <v>42308</v>
      </c>
      <c r="B172" s="8">
        <f>'Final Data'!I172</f>
        <v>6.2272963155164352E-3</v>
      </c>
      <c r="C172" s="8">
        <f>'3.8 Data - CAD#USD '!F173/100</f>
        <v>1.0669989011740225E-2</v>
      </c>
      <c r="D172" s="8">
        <f>'3.8 Data - CAD#USD '!G173/100</f>
        <v>1.5106366334405343E-2</v>
      </c>
      <c r="E172" s="8">
        <v>-5.9173619999999972E-3</v>
      </c>
      <c r="F172" s="8">
        <v>9.0492855999999983E-3</v>
      </c>
      <c r="G172" s="8">
        <v>-1.4352384000000003E-2</v>
      </c>
    </row>
    <row r="173" spans="1:7" x14ac:dyDescent="0.2">
      <c r="A173" s="2">
        <v>42338</v>
      </c>
      <c r="B173" s="8">
        <f>'Final Data'!I173</f>
        <v>3.3212996389891683E-2</v>
      </c>
      <c r="C173" s="8">
        <f>'3.8 Data - CAD#USD '!F174/100</f>
        <v>1.0669989011740225E-2</v>
      </c>
      <c r="D173" s="8">
        <f>'3.8 Data - CAD#USD '!G174/100</f>
        <v>1.5106366334405343E-2</v>
      </c>
      <c r="E173" s="8">
        <v>-6.1655020000000024E-3</v>
      </c>
      <c r="F173" s="8">
        <v>8.3656835000000002E-3</v>
      </c>
      <c r="G173" s="8">
        <v>-1.4352388000000001E-2</v>
      </c>
    </row>
    <row r="174" spans="1:7" x14ac:dyDescent="0.2">
      <c r="A174" s="2">
        <v>42369</v>
      </c>
      <c r="B174" s="8">
        <f>'Final Data'!I174</f>
        <v>-1.5373864430468266E-2</v>
      </c>
      <c r="C174" s="8">
        <f>'3.8 Data - CAD#USD '!F175/100</f>
        <v>8.400683192732062E-3</v>
      </c>
      <c r="D174" s="8">
        <f>'3.8 Data - CAD#USD '!G175/100</f>
        <v>1.4612050943554705E-2</v>
      </c>
      <c r="E174" s="8">
        <v>-7.7307719999999995E-3</v>
      </c>
      <c r="F174" s="8">
        <v>8.7521834999999999E-3</v>
      </c>
      <c r="G174" s="8">
        <v>-1.4352384000000003E-2</v>
      </c>
    </row>
    <row r="175" spans="1:7" x14ac:dyDescent="0.2">
      <c r="A175" s="2">
        <v>42400</v>
      </c>
      <c r="B175" s="8">
        <f>'Final Data'!I175</f>
        <v>9.9361249112846391E-3</v>
      </c>
      <c r="C175" s="8">
        <f>'3.8 Data - CAD#USD '!F176/100</f>
        <v>8.400683192732062E-3</v>
      </c>
      <c r="D175" s="8">
        <f>'3.8 Data - CAD#USD '!G176/100</f>
        <v>1.4612050943554705E-2</v>
      </c>
      <c r="E175" s="8">
        <v>-8.1340019999999996E-3</v>
      </c>
      <c r="F175" s="8">
        <v>6.8096340000000002E-3</v>
      </c>
      <c r="G175" s="8">
        <v>-1.4855232000000003E-2</v>
      </c>
    </row>
    <row r="176" spans="1:7" x14ac:dyDescent="0.2">
      <c r="A176" s="2">
        <v>42429</v>
      </c>
      <c r="B176" s="8">
        <f>'Final Data'!I176</f>
        <v>-1.4054813773717555E-2</v>
      </c>
      <c r="C176" s="8">
        <f>'3.8 Data - CAD#USD '!F177/100</f>
        <v>8.400683192732062E-3</v>
      </c>
      <c r="D176" s="8">
        <f>'3.8 Data - CAD#USD '!G177/100</f>
        <v>1.4612050943554705E-2</v>
      </c>
      <c r="E176" s="8">
        <v>-6.5213520000000002E-3</v>
      </c>
      <c r="F176" s="8">
        <v>5.8698423999999994E-3</v>
      </c>
      <c r="G176" s="8">
        <v>-1.4855228E-2</v>
      </c>
    </row>
    <row r="177" spans="1:7" x14ac:dyDescent="0.2">
      <c r="A177" s="2">
        <v>42460</v>
      </c>
      <c r="B177" s="8">
        <f>'Final Data'!I177</f>
        <v>-3.6859790245392432E-2</v>
      </c>
      <c r="C177" s="8">
        <f>'3.8 Data - CAD#USD '!F178/100</f>
        <v>1.2034708540755484E-2</v>
      </c>
      <c r="D177" s="8">
        <f>'3.8 Data - CAD#USD '!G178/100</f>
        <v>1.4086235750514977E-2</v>
      </c>
      <c r="E177" s="8">
        <v>-6.102044E-3</v>
      </c>
      <c r="F177" s="8">
        <v>3.7720944999999994E-3</v>
      </c>
      <c r="G177" s="8">
        <v>-1.4855228E-2</v>
      </c>
    </row>
    <row r="178" spans="1:7" x14ac:dyDescent="0.2">
      <c r="A178" s="2">
        <v>42490</v>
      </c>
      <c r="B178" s="8">
        <f>'Final Data'!I178</f>
        <v>-1.5963632519293849E-2</v>
      </c>
      <c r="C178" s="8">
        <f>'3.8 Data - CAD#USD '!F179/100</f>
        <v>1.2034708540755484E-2</v>
      </c>
      <c r="D178" s="8">
        <f>'3.8 Data - CAD#USD '!G179/100</f>
        <v>1.4086235750514977E-2</v>
      </c>
      <c r="E178" s="8">
        <v>-4.5704279999999996E-3</v>
      </c>
      <c r="F178" s="8">
        <v>4.9667710000000009E-3</v>
      </c>
      <c r="G178" s="8">
        <v>-1.4095896999999998E-2</v>
      </c>
    </row>
    <row r="179" spans="1:7" x14ac:dyDescent="0.2">
      <c r="A179" s="2">
        <v>42521</v>
      </c>
      <c r="B179" s="8">
        <f>'Final Data'!I179</f>
        <v>3.0189084658358425E-2</v>
      </c>
      <c r="C179" s="8">
        <f>'3.8 Data - CAD#USD '!F180/100</f>
        <v>1.2034708540755484E-2</v>
      </c>
      <c r="D179" s="8">
        <f>'3.8 Data - CAD#USD '!G180/100</f>
        <v>1.4086235750514977E-2</v>
      </c>
      <c r="E179" s="8">
        <v>-4.5106650000000005E-3</v>
      </c>
      <c r="F179" s="8">
        <v>5.0505990000000002E-3</v>
      </c>
      <c r="G179" s="8">
        <v>-1.4095896999999998E-2</v>
      </c>
    </row>
    <row r="180" spans="1:7" x14ac:dyDescent="0.2">
      <c r="A180" s="2">
        <v>42551</v>
      </c>
      <c r="B180" s="8">
        <f>'Final Data'!I180</f>
        <v>2.6071540306601315E-3</v>
      </c>
      <c r="C180" s="8">
        <f>'3.8 Data - CAD#USD '!F181/100</f>
        <v>1.1486671641109057E-2</v>
      </c>
      <c r="D180" s="8">
        <f>'3.8 Data - CAD#USD '!G181/100</f>
        <v>1.3559868538853083E-2</v>
      </c>
      <c r="E180" s="8">
        <v>-4.6860880000000014E-3</v>
      </c>
      <c r="F180" s="8">
        <v>3.4027189999999985E-3</v>
      </c>
      <c r="G180" s="8">
        <v>-1.4095895999999998E-2</v>
      </c>
    </row>
    <row r="181" spans="1:7" x14ac:dyDescent="0.2">
      <c r="A181" s="2">
        <v>42582</v>
      </c>
      <c r="B181" s="8">
        <f>'Final Data'!I181</f>
        <v>-6.3449136675681238E-3</v>
      </c>
      <c r="C181" s="8">
        <f>'3.8 Data - CAD#USD '!F182/100</f>
        <v>1.1486671641109057E-2</v>
      </c>
      <c r="D181" s="8">
        <f>'3.8 Data - CAD#USD '!G182/100</f>
        <v>1.3559868538853083E-2</v>
      </c>
      <c r="E181" s="8">
        <v>-4.4454999999999998E-3</v>
      </c>
      <c r="F181" s="8">
        <v>2.3313210000000008E-3</v>
      </c>
      <c r="G181" s="8">
        <v>-1.1171302999999999E-2</v>
      </c>
    </row>
    <row r="182" spans="1:7" x14ac:dyDescent="0.2">
      <c r="A182" s="2">
        <v>42613</v>
      </c>
      <c r="B182" s="8">
        <f>'Final Data'!I182</f>
        <v>5.1292787605987109E-3</v>
      </c>
      <c r="C182" s="8">
        <f>'3.8 Data - CAD#USD '!F183/100</f>
        <v>1.1486671641109057E-2</v>
      </c>
      <c r="D182" s="8">
        <f>'3.8 Data - CAD#USD '!G183/100</f>
        <v>1.3559868538853083E-2</v>
      </c>
      <c r="E182" s="8">
        <v>-5.1562570000000018E-3</v>
      </c>
      <c r="F182" s="8">
        <v>1.2486350000000001E-3</v>
      </c>
      <c r="G182" s="8">
        <v>-1.1171302999999999E-2</v>
      </c>
    </row>
    <row r="183" spans="1:7" x14ac:dyDescent="0.2">
      <c r="A183" s="2">
        <v>42643</v>
      </c>
      <c r="B183" s="8">
        <f>'Final Data'!I183</f>
        <v>-5.832118308685714E-3</v>
      </c>
      <c r="C183" s="8">
        <f>'3.8 Data - CAD#USD '!F184/100</f>
        <v>1.2998701645481135E-2</v>
      </c>
      <c r="D183" s="8">
        <f>'3.8 Data - CAD#USD '!G184/100</f>
        <v>1.4104269786475561E-2</v>
      </c>
      <c r="E183" s="8">
        <v>-5.4069990000000009E-3</v>
      </c>
      <c r="F183" s="8">
        <v>-1.3132380000000011E-3</v>
      </c>
      <c r="G183" s="8">
        <v>-1.1171302999999999E-2</v>
      </c>
    </row>
    <row r="184" spans="1:7" x14ac:dyDescent="0.2">
      <c r="A184" s="2">
        <v>42674</v>
      </c>
      <c r="B184" s="8">
        <f>'Final Data'!I184</f>
        <v>3.1217263775403355E-2</v>
      </c>
      <c r="C184" s="8">
        <f>'3.8 Data - CAD#USD '!F185/100</f>
        <v>1.2998701645481135E-2</v>
      </c>
      <c r="D184" s="8">
        <f>'3.8 Data - CAD#USD '!G185/100</f>
        <v>1.4104269786475561E-2</v>
      </c>
      <c r="E184" s="8">
        <v>-5.9298089999999994E-3</v>
      </c>
      <c r="F184" s="8">
        <v>-1.9219340000000008E-3</v>
      </c>
      <c r="G184" s="8">
        <v>5.4548899999999905E-4</v>
      </c>
    </row>
    <row r="185" spans="1:7" x14ac:dyDescent="0.2">
      <c r="A185" s="2">
        <v>42704</v>
      </c>
      <c r="B185" s="8">
        <f>'Final Data'!I185</f>
        <v>3.1084924827305998E-2</v>
      </c>
      <c r="C185" s="8">
        <f>'3.8 Data - CAD#USD '!F186/100</f>
        <v>1.2998701645481135E-2</v>
      </c>
      <c r="D185" s="8">
        <f>'3.8 Data - CAD#USD '!G186/100</f>
        <v>1.4104269786475561E-2</v>
      </c>
      <c r="E185" s="8">
        <v>-7.1494319999999998E-3</v>
      </c>
      <c r="F185" s="8">
        <v>-4.2747259999999995E-3</v>
      </c>
      <c r="G185" s="8">
        <v>5.4548899999999905E-4</v>
      </c>
    </row>
    <row r="186" spans="1:7" x14ac:dyDescent="0.2">
      <c r="A186" s="2">
        <v>42735</v>
      </c>
      <c r="B186" s="8">
        <f>'Final Data'!I186</f>
        <v>6.9950738916255539E-3</v>
      </c>
      <c r="C186" s="8">
        <f>'3.8 Data - CAD#USD '!F187/100</f>
        <v>1.3919057929099055E-2</v>
      </c>
      <c r="D186" s="8">
        <f>'3.8 Data - CAD#USD '!G187/100</f>
        <v>1.4707800478430606E-2</v>
      </c>
      <c r="E186" s="8">
        <v>-7.5385259999999985E-3</v>
      </c>
      <c r="F186" s="8">
        <v>-5.5943679999999989E-3</v>
      </c>
      <c r="G186" s="8">
        <v>5.4548599999999943E-4</v>
      </c>
    </row>
    <row r="187" spans="1:7" x14ac:dyDescent="0.2">
      <c r="A187" s="2">
        <v>42766</v>
      </c>
      <c r="B187" s="8">
        <f>'Final Data'!I187</f>
        <v>-2.6416201937188032E-2</v>
      </c>
      <c r="C187" s="8">
        <f>'3.8 Data - CAD#USD '!F188/100</f>
        <v>1.3919057929099055E-2</v>
      </c>
      <c r="D187" s="8">
        <f>'3.8 Data - CAD#USD '!G188/100</f>
        <v>1.4707800478430606E-2</v>
      </c>
      <c r="E187" s="8">
        <v>-7.0223479999999986E-3</v>
      </c>
      <c r="F187" s="8">
        <v>-4.7117450000000007E-3</v>
      </c>
      <c r="G187" s="8">
        <v>-4.3285339999999993E-3</v>
      </c>
    </row>
    <row r="188" spans="1:7" x14ac:dyDescent="0.2">
      <c r="A188" s="2">
        <v>42794</v>
      </c>
      <c r="B188" s="8">
        <f>'Final Data'!I188</f>
        <v>1.6179278464475925E-2</v>
      </c>
      <c r="C188" s="8">
        <f>'3.8 Data - CAD#USD '!F189/100</f>
        <v>1.3919057929099055E-2</v>
      </c>
      <c r="D188" s="8">
        <f>'3.8 Data - CAD#USD '!G189/100</f>
        <v>1.4707800478430606E-2</v>
      </c>
      <c r="E188" s="8">
        <v>-7.1324749999999984E-3</v>
      </c>
      <c r="F188" s="8">
        <v>-7.6794720000000006E-3</v>
      </c>
      <c r="G188" s="8">
        <v>-4.3285339999999993E-3</v>
      </c>
    </row>
    <row r="189" spans="1:7" x14ac:dyDescent="0.2">
      <c r="A189" s="2">
        <v>42825</v>
      </c>
      <c r="B189" s="8">
        <f>'Final Data'!I189</f>
        <v>-7.6147151898735181E-3</v>
      </c>
      <c r="C189" s="8">
        <f>'3.8 Data - CAD#USD '!F190/100</f>
        <v>1.4993368920869787E-2</v>
      </c>
      <c r="D189" s="8">
        <f>'3.8 Data - CAD#USD '!G190/100</f>
        <v>1.4561325680324312E-2</v>
      </c>
      <c r="E189" s="8">
        <v>-7.6761310000000018E-3</v>
      </c>
      <c r="F189" s="8">
        <v>-8.7501539999999996E-3</v>
      </c>
      <c r="G189" s="8">
        <v>-4.328531E-3</v>
      </c>
    </row>
    <row r="190" spans="1:7" x14ac:dyDescent="0.2">
      <c r="A190" s="2">
        <v>42855</v>
      </c>
      <c r="B190" s="8">
        <f>'Final Data'!I190</f>
        <v>-1.2954658694568981E-2</v>
      </c>
      <c r="C190" s="8">
        <f>'3.8 Data - CAD#USD '!F191/100</f>
        <v>1.4993368920869787E-2</v>
      </c>
      <c r="D190" s="8">
        <f>'3.8 Data - CAD#USD '!G191/100</f>
        <v>1.4561325680324312E-2</v>
      </c>
      <c r="E190" s="8">
        <v>-7.5147390000000012E-3</v>
      </c>
      <c r="F190" s="8">
        <v>-4.561145E-3</v>
      </c>
      <c r="G190" s="8">
        <v>-5.4226899999999965E-3</v>
      </c>
    </row>
    <row r="191" spans="1:7" x14ac:dyDescent="0.2">
      <c r="A191" s="2">
        <v>42886</v>
      </c>
      <c r="B191" s="8">
        <f>'Final Data'!I191</f>
        <v>-2.1504290762241248E-2</v>
      </c>
      <c r="C191" s="8">
        <f>'3.8 Data - CAD#USD '!F192/100</f>
        <v>1.4993368920869787E-2</v>
      </c>
      <c r="D191" s="8">
        <f>'3.8 Data - CAD#USD '!G192/100</f>
        <v>1.4561325680324312E-2</v>
      </c>
      <c r="E191" s="8">
        <v>-7.7857290000000016E-3</v>
      </c>
      <c r="F191" s="8">
        <v>-6.0926879999999997E-3</v>
      </c>
      <c r="G191" s="8">
        <v>-5.4226899999999965E-3</v>
      </c>
    </row>
    <row r="192" spans="1:7" x14ac:dyDescent="0.2">
      <c r="A192" s="2">
        <v>42916</v>
      </c>
      <c r="B192" s="8">
        <f>'Final Data'!I192</f>
        <v>-1.330994634750316E-2</v>
      </c>
      <c r="C192" s="8">
        <f>'3.8 Data - CAD#USD '!F193/100</f>
        <v>1.7060822957267508E-2</v>
      </c>
      <c r="D192" s="8">
        <f>'3.8 Data - CAD#USD '!G193/100</f>
        <v>1.4933659024217602E-2</v>
      </c>
      <c r="E192" s="8">
        <v>-6.8877759999999991E-3</v>
      </c>
      <c r="F192" s="8">
        <v>-6.2967850000000001E-3</v>
      </c>
      <c r="G192" s="8">
        <v>-5.4226899999999965E-3</v>
      </c>
    </row>
    <row r="193" spans="1:7" x14ac:dyDescent="0.2">
      <c r="A193" s="2">
        <v>42947</v>
      </c>
      <c r="B193" s="8">
        <f>'Final Data'!I193</f>
        <v>-2.8965805709505344E-2</v>
      </c>
      <c r="C193" s="8">
        <f>'3.8 Data - CAD#USD '!F194/100</f>
        <v>1.7060822957267508E-2</v>
      </c>
      <c r="D193" s="8">
        <f>'3.8 Data - CAD#USD '!G194/100</f>
        <v>1.4933659024217602E-2</v>
      </c>
      <c r="E193" s="8">
        <v>-4.2785549999999999E-3</v>
      </c>
      <c r="F193" s="8">
        <v>-4.7996139999999989E-3</v>
      </c>
      <c r="G193" s="8">
        <v>-1.6149682999999998E-2</v>
      </c>
    </row>
    <row r="194" spans="1:7" x14ac:dyDescent="0.2">
      <c r="A194" s="2">
        <v>42978</v>
      </c>
      <c r="B194" s="8">
        <f>'Final Data'!I194</f>
        <v>-2.0460908895110676E-3</v>
      </c>
      <c r="C194" s="8">
        <f>'3.8 Data - CAD#USD '!F195/100</f>
        <v>1.7060822957267508E-2</v>
      </c>
      <c r="D194" s="8">
        <f>'3.8 Data - CAD#USD '!G195/100</f>
        <v>1.4933659024217602E-2</v>
      </c>
      <c r="E194" s="8">
        <v>-3.2086490000000014E-3</v>
      </c>
      <c r="F194" s="8">
        <v>-5.2844310000000009E-3</v>
      </c>
      <c r="G194" s="8">
        <v>-1.6149677999999997E-2</v>
      </c>
    </row>
    <row r="195" spans="1:7" x14ac:dyDescent="0.2">
      <c r="A195" s="2">
        <v>43008</v>
      </c>
      <c r="B195" s="8">
        <f>'Final Data'!I195</f>
        <v>4.4243012841264336E-3</v>
      </c>
      <c r="C195" s="8">
        <f>'3.8 Data - CAD#USD '!F196/100</f>
        <v>1.5781391059354121E-2</v>
      </c>
      <c r="D195" s="8">
        <f>'3.8 Data - CAD#USD '!G196/100</f>
        <v>1.5052874143413629E-2</v>
      </c>
      <c r="E195" s="8">
        <v>-1.5216540000000034E-3</v>
      </c>
      <c r="F195" s="8">
        <v>-7.0541539999999991E-3</v>
      </c>
      <c r="G195" s="8">
        <v>-1.6149677999999997E-2</v>
      </c>
    </row>
    <row r="196" spans="1:7" x14ac:dyDescent="0.2">
      <c r="A196" s="2">
        <v>43039</v>
      </c>
      <c r="B196" s="8">
        <f>'Final Data'!I196</f>
        <v>1.5792866351525558E-2</v>
      </c>
      <c r="C196" s="8">
        <f>'3.8 Data - CAD#USD '!F197/100</f>
        <v>1.5781391059354121E-2</v>
      </c>
      <c r="D196" s="8">
        <f>'3.8 Data - CAD#USD '!G197/100</f>
        <v>1.5052874143413629E-2</v>
      </c>
      <c r="E196" s="8">
        <v>-2.9242770000000016E-3</v>
      </c>
      <c r="F196" s="8">
        <v>-6.2650179999999998E-3</v>
      </c>
      <c r="G196" s="8">
        <v>-1.1443633999999998E-2</v>
      </c>
    </row>
    <row r="197" spans="1:7" x14ac:dyDescent="0.2">
      <c r="A197" s="2">
        <v>43069</v>
      </c>
      <c r="B197" s="8">
        <f>'Final Data'!I197</f>
        <v>-1.5864621893178214E-2</v>
      </c>
      <c r="C197" s="8">
        <f>'3.8 Data - CAD#USD '!F198/100</f>
        <v>1.5781391059354121E-2</v>
      </c>
      <c r="D197" s="8">
        <f>'3.8 Data - CAD#USD '!G198/100</f>
        <v>1.5052874143413629E-2</v>
      </c>
      <c r="E197" s="8">
        <v>-4.2827149999999994E-3</v>
      </c>
      <c r="F197" s="8">
        <v>-2.5940000000002072E-6</v>
      </c>
      <c r="G197" s="8">
        <v>-1.1443632000000002E-2</v>
      </c>
    </row>
    <row r="198" spans="1:7" x14ac:dyDescent="0.2">
      <c r="A198" s="2">
        <v>43100</v>
      </c>
      <c r="B198" s="8">
        <f>'Final Data'!I198</f>
        <v>-9.9946265448682715E-3</v>
      </c>
      <c r="C198" s="8">
        <f>'3.8 Data - CAD#USD '!F199/100</f>
        <v>1.5707515030455498E-2</v>
      </c>
      <c r="D198" s="8">
        <f>'3.8 Data - CAD#USD '!G199/100</f>
        <v>1.5866248434432455E-2</v>
      </c>
      <c r="E198" s="8">
        <v>-4.8952990000000023E-3</v>
      </c>
      <c r="F198" s="8">
        <v>-1.9643910000000011E-3</v>
      </c>
      <c r="G198" s="8">
        <v>-1.1443636E-2</v>
      </c>
    </row>
    <row r="199" spans="1:7" x14ac:dyDescent="0.2">
      <c r="A199" s="2">
        <v>43131</v>
      </c>
      <c r="B199" s="8">
        <f>'Final Data'!I199</f>
        <v>-3.2457663916630582E-2</v>
      </c>
      <c r="C199" s="8">
        <f>'3.8 Data - CAD#USD '!F200/100</f>
        <v>1.5707515030455498E-2</v>
      </c>
      <c r="D199" s="8">
        <f>'3.8 Data - CAD#USD '!G200/100</f>
        <v>1.5866248434432455E-2</v>
      </c>
      <c r="E199" s="8">
        <v>-3.8356109999999966E-3</v>
      </c>
      <c r="F199" s="8">
        <v>-4.6031029999999973E-3</v>
      </c>
      <c r="G199" s="8">
        <v>-8.7560329999999981E-3</v>
      </c>
    </row>
    <row r="200" spans="1:7" x14ac:dyDescent="0.2">
      <c r="A200" s="2">
        <v>43159</v>
      </c>
      <c r="B200" s="8">
        <f>'Final Data'!I200</f>
        <v>1.660495904858077E-2</v>
      </c>
      <c r="C200" s="8">
        <f>'3.8 Data - CAD#USD '!F201/100</f>
        <v>1.5707515030455498E-2</v>
      </c>
      <c r="D200" s="8">
        <f>'3.8 Data - CAD#USD '!G201/100</f>
        <v>1.5866248434432455E-2</v>
      </c>
      <c r="E200" s="8">
        <v>-5.3099469999999989E-3</v>
      </c>
      <c r="F200" s="8">
        <v>-1.8494199999999994E-3</v>
      </c>
      <c r="G200" s="8">
        <v>-8.7560329999999981E-3</v>
      </c>
    </row>
    <row r="201" spans="1:7" x14ac:dyDescent="0.2">
      <c r="A201" s="2">
        <v>43190</v>
      </c>
      <c r="B201" s="8">
        <f>'Final Data'!I201</f>
        <v>-7.0632380531950182E-3</v>
      </c>
      <c r="C201" s="8">
        <f>'3.8 Data - CAD#USD '!F202/100</f>
        <v>1.5575062886913323E-2</v>
      </c>
      <c r="D201" s="8">
        <f>'3.8 Data - CAD#USD '!G202/100</f>
        <v>1.6297550286124184E-2</v>
      </c>
      <c r="E201" s="8">
        <v>-6.5219089999999993E-3</v>
      </c>
      <c r="F201" s="8">
        <v>-1.7917699999999925E-4</v>
      </c>
      <c r="G201" s="8">
        <v>-8.7560329999999981E-3</v>
      </c>
    </row>
    <row r="202" spans="1:7" x14ac:dyDescent="0.2">
      <c r="A202" s="2">
        <v>43220</v>
      </c>
      <c r="B202" s="8">
        <f>'Final Data'!I202</f>
        <v>2.0784706013115533E-2</v>
      </c>
      <c r="C202" s="8">
        <f>'3.8 Data - CAD#USD '!F203/100</f>
        <v>1.5575062886913323E-2</v>
      </c>
      <c r="D202" s="8">
        <f>'3.8 Data - CAD#USD '!G203/100</f>
        <v>1.6297550286124184E-2</v>
      </c>
      <c r="E202" s="8">
        <v>-6.1773330000000027E-3</v>
      </c>
      <c r="F202" s="8">
        <v>-3.9567940000000013E-3</v>
      </c>
      <c r="G202" s="8">
        <v>-7.4141500000000013E-3</v>
      </c>
    </row>
    <row r="203" spans="1:7" x14ac:dyDescent="0.2">
      <c r="A203" s="2">
        <v>43251</v>
      </c>
      <c r="B203" s="8">
        <f>'Final Data'!I203</f>
        <v>2.3301393728223003E-2</v>
      </c>
      <c r="C203" s="8">
        <f>'3.8 Data - CAD#USD '!F204/100</f>
        <v>1.5575062886913323E-2</v>
      </c>
      <c r="D203" s="8">
        <f>'3.8 Data - CAD#USD '!G204/100</f>
        <v>1.6297550286124184E-2</v>
      </c>
      <c r="E203" s="8">
        <v>-5.9492300000000007E-3</v>
      </c>
      <c r="F203" s="8">
        <v>-4.7246000000000033E-3</v>
      </c>
      <c r="G203" s="8">
        <v>-7.4141500000000013E-3</v>
      </c>
    </row>
    <row r="204" spans="1:7" x14ac:dyDescent="0.2">
      <c r="A204" s="2">
        <v>43281</v>
      </c>
      <c r="B204" s="8">
        <f>'Final Data'!I204</f>
        <v>7.0227708022983244E-3</v>
      </c>
      <c r="C204" s="8">
        <f>'3.8 Data - CAD#USD '!F205/100</f>
        <v>1.518448844643641E-2</v>
      </c>
      <c r="D204" s="8">
        <f>'3.8 Data - CAD#USD '!G205/100</f>
        <v>1.6260030540961451E-2</v>
      </c>
      <c r="E204" s="8">
        <v>-7.0108110000000013E-3</v>
      </c>
      <c r="F204" s="8">
        <v>-3.4412289999999988E-3</v>
      </c>
      <c r="G204" s="8">
        <v>-7.414147000000002E-3</v>
      </c>
    </row>
    <row r="205" spans="1:7" x14ac:dyDescent="0.2">
      <c r="A205" s="2">
        <v>43312</v>
      </c>
      <c r="B205" s="8">
        <f>'Final Data'!I205</f>
        <v>-1.5849535080304912E-3</v>
      </c>
      <c r="C205" s="8">
        <f>'3.8 Data - CAD#USD '!F206/100</f>
        <v>1.518448844643641E-2</v>
      </c>
      <c r="D205" s="8">
        <f>'3.8 Data - CAD#USD '!G206/100</f>
        <v>1.6260030540961451E-2</v>
      </c>
      <c r="E205" s="8">
        <v>-7.0082930000000014E-3</v>
      </c>
      <c r="F205" s="8">
        <v>-8.7038999999999866E-4</v>
      </c>
      <c r="G205" s="8">
        <v>5.2353359999999993E-3</v>
      </c>
    </row>
    <row r="206" spans="1:7" x14ac:dyDescent="0.2">
      <c r="A206" s="2">
        <v>43343</v>
      </c>
      <c r="B206" s="8">
        <f>'Final Data'!I206</f>
        <v>6.8790348184993725E-3</v>
      </c>
      <c r="C206" s="8">
        <f>'3.8 Data - CAD#USD '!F207/100</f>
        <v>1.518448844643641E-2</v>
      </c>
      <c r="D206" s="8">
        <f>'3.8 Data - CAD#USD '!G207/100</f>
        <v>1.6260030540961451E-2</v>
      </c>
      <c r="E206" s="8">
        <v>-5.8750870000000037E-3</v>
      </c>
      <c r="F206" s="8">
        <v>4.1129900000000055E-4</v>
      </c>
      <c r="G206" s="8">
        <v>5.2353359999999993E-3</v>
      </c>
    </row>
    <row r="207" spans="1:7" x14ac:dyDescent="0.2">
      <c r="A207" s="2">
        <v>43373</v>
      </c>
      <c r="B207" s="8">
        <f>'Final Data'!I207</f>
        <v>-1.051082615094084E-4</v>
      </c>
      <c r="C207" s="8">
        <f>'3.8 Data - CAD#USD '!F208/100</f>
        <v>1.5855152553967335E-2</v>
      </c>
      <c r="D207" s="8">
        <f>'3.8 Data - CAD#USD '!G208/100</f>
        <v>1.6044201215837078E-2</v>
      </c>
      <c r="E207" s="8">
        <v>-6.4798430000000008E-3</v>
      </c>
      <c r="F207" s="8">
        <v>3.9798299999999732E-4</v>
      </c>
      <c r="G207" s="8">
        <v>5.2353359999999993E-3</v>
      </c>
    </row>
    <row r="208" spans="1:7" x14ac:dyDescent="0.2">
      <c r="A208" s="2">
        <v>43404</v>
      </c>
      <c r="B208" s="8">
        <f>'Final Data'!I208</f>
        <v>2.1023862083464732E-2</v>
      </c>
      <c r="C208" s="8">
        <f>'3.8 Data - CAD#USD '!F209/100</f>
        <v>1.5855152553967335E-2</v>
      </c>
      <c r="D208" s="8">
        <f>'3.8 Data - CAD#USD '!G209/100</f>
        <v>1.6044201215837078E-2</v>
      </c>
      <c r="E208" s="8">
        <v>-6.6109550000000008E-3</v>
      </c>
      <c r="F208" s="8">
        <v>2.8983399999999994E-4</v>
      </c>
      <c r="G208" s="8">
        <v>-3.5623960000000033E-3</v>
      </c>
    </row>
    <row r="209" spans="1:7" x14ac:dyDescent="0.2">
      <c r="A209" s="2">
        <v>43434</v>
      </c>
      <c r="B209" s="8">
        <f>'Final Data'!I209</f>
        <v>1.4413672397817418E-3</v>
      </c>
      <c r="C209" s="8">
        <f>'3.8 Data - CAD#USD '!F210/100</f>
        <v>1.5855152553967335E-2</v>
      </c>
      <c r="D209" s="8">
        <f>'3.8 Data - CAD#USD '!G210/100</f>
        <v>1.6044201215837078E-2</v>
      </c>
      <c r="E209" s="8">
        <v>-7.0060419999999988E-3</v>
      </c>
      <c r="F209" s="8">
        <v>-4.0093910000000019E-3</v>
      </c>
      <c r="G209" s="8">
        <v>-3.5623960000000033E-3</v>
      </c>
    </row>
    <row r="210" spans="1:7" x14ac:dyDescent="0.2">
      <c r="A210" s="2">
        <v>43465</v>
      </c>
      <c r="B210" s="8">
        <f>'Final Data'!I210</f>
        <v>-1.130872828210131E-2</v>
      </c>
      <c r="C210" s="8">
        <f>'3.8 Data - CAD#USD '!F211/100</f>
        <v>1.5476920351203708E-2</v>
      </c>
      <c r="D210" s="8">
        <f>'3.8 Data - CAD#USD '!G211/100</f>
        <v>1.462024416918075E-2</v>
      </c>
      <c r="E210" s="8">
        <v>-7.8322049999999966E-3</v>
      </c>
      <c r="F210" s="8">
        <v>-1.0556790000000006E-3</v>
      </c>
      <c r="G210" s="8">
        <v>-3.562398E-3</v>
      </c>
    </row>
    <row r="211" spans="1:7" x14ac:dyDescent="0.2">
      <c r="A211" s="2">
        <v>43496</v>
      </c>
      <c r="B211" s="8">
        <f>'Final Data'!I211</f>
        <v>-6.1349693251534099E-3</v>
      </c>
      <c r="C211" s="8">
        <f>'3.8 Data - CAD#USD '!F212/100</f>
        <v>1.5476920351203708E-2</v>
      </c>
      <c r="D211" s="8">
        <f>'3.8 Data - CAD#USD '!G212/100</f>
        <v>1.462024416918075E-2</v>
      </c>
      <c r="E211" s="8">
        <v>-7.5743300000000024E-3</v>
      </c>
      <c r="F211" s="8">
        <v>2.411770000000013E-4</v>
      </c>
      <c r="G211" s="8">
        <v>-7.8371330000000013E-3</v>
      </c>
    </row>
    <row r="212" spans="1:7" x14ac:dyDescent="0.2">
      <c r="A212" s="2">
        <v>43524</v>
      </c>
      <c r="B212" s="8">
        <f>'Final Data'!I212</f>
        <v>6.0682151077631127E-3</v>
      </c>
      <c r="C212" s="8">
        <f>'3.8 Data - CAD#USD '!F213/100</f>
        <v>1.5476920351203708E-2</v>
      </c>
      <c r="D212" s="8">
        <f>'3.8 Data - CAD#USD '!G213/100</f>
        <v>1.462024416918075E-2</v>
      </c>
      <c r="E212" s="8">
        <v>-7.657523999999998E-3</v>
      </c>
      <c r="F212" s="8">
        <v>6.4848599999999923E-4</v>
      </c>
      <c r="G212" s="8">
        <v>-7.837135000000002E-3</v>
      </c>
    </row>
    <row r="213" spans="1:7" x14ac:dyDescent="0.2">
      <c r="A213" s="2">
        <v>43555</v>
      </c>
      <c r="B213" s="8">
        <f>'Final Data'!I213</f>
        <v>1.1647254575707202E-2</v>
      </c>
      <c r="C213" s="8">
        <f>'3.8 Data - CAD#USD '!F214/100</f>
        <v>1.4046333224980221E-2</v>
      </c>
      <c r="D213" s="8">
        <f>'3.8 Data - CAD#USD '!G214/100</f>
        <v>1.4314896534297466E-2</v>
      </c>
      <c r="E213" s="8">
        <v>-8.5358089999999984E-3</v>
      </c>
      <c r="F213" s="8">
        <v>7.5779999999991963E-6</v>
      </c>
      <c r="G213" s="8">
        <v>-7.837135000000002E-3</v>
      </c>
    </row>
    <row r="214" spans="1:7" x14ac:dyDescent="0.2">
      <c r="A214" s="2">
        <v>43585</v>
      </c>
      <c r="B214" s="8">
        <f>'Final Data'!I214</f>
        <v>2.0559210526316083E-3</v>
      </c>
      <c r="C214" s="8">
        <f>'3.8 Data - CAD#USD '!F215/100</f>
        <v>1.4046333224980221E-2</v>
      </c>
      <c r="D214" s="8">
        <f>'3.8 Data - CAD#USD '!G215/100</f>
        <v>1.4314896534297466E-2</v>
      </c>
      <c r="E214" s="8">
        <v>-8.0187179999999976E-3</v>
      </c>
      <c r="F214" s="8">
        <v>1.0785529999999977E-3</v>
      </c>
      <c r="G214" s="8">
        <v>5.2130379999999988E-3</v>
      </c>
    </row>
    <row r="215" spans="1:7" x14ac:dyDescent="0.2">
      <c r="A215" s="2">
        <v>43616</v>
      </c>
      <c r="B215" s="8">
        <f>'Final Data'!I215</f>
        <v>2.7697989331144442E-3</v>
      </c>
      <c r="C215" s="8">
        <f>'3.8 Data - CAD#USD '!F216/100</f>
        <v>1.4046333224980221E-2</v>
      </c>
      <c r="D215" s="8">
        <f>'3.8 Data - CAD#USD '!G216/100</f>
        <v>1.4314896534297466E-2</v>
      </c>
      <c r="E215" s="8">
        <v>-7.2252710000000019E-3</v>
      </c>
      <c r="F215" s="8">
        <v>5.3667420000000025E-3</v>
      </c>
      <c r="G215" s="8">
        <v>5.2130399999999978E-3</v>
      </c>
    </row>
    <row r="216" spans="1:7" x14ac:dyDescent="0.2">
      <c r="A216" s="2">
        <v>43646</v>
      </c>
      <c r="B216" s="8">
        <f>'Final Data'!I216</f>
        <v>-1.6572890025575493E-2</v>
      </c>
      <c r="C216" s="8">
        <f>'3.8 Data - CAD#USD '!F217/100</f>
        <v>1.4563985639292702E-2</v>
      </c>
      <c r="D216" s="8">
        <f>'3.8 Data - CAD#USD '!G217/100</f>
        <v>1.4800687057220539E-2</v>
      </c>
      <c r="E216" s="8">
        <v>-6.0960480000000006E-3</v>
      </c>
      <c r="F216" s="8">
        <v>4.3247889999999999E-3</v>
      </c>
      <c r="G216" s="8">
        <v>5.2130399999999978E-3</v>
      </c>
    </row>
    <row r="217" spans="1:7" x14ac:dyDescent="0.2">
      <c r="A217" s="2">
        <v>43677</v>
      </c>
      <c r="B217" s="8">
        <f>'Final Data'!I217</f>
        <v>2.4862165817122653E-2</v>
      </c>
      <c r="C217" s="8">
        <f>'3.8 Data - CAD#USD '!F218/100</f>
        <v>1.4563985639292702E-2</v>
      </c>
      <c r="D217" s="8">
        <f>'3.8 Data - CAD#USD '!G218/100</f>
        <v>1.4800687057220539E-2</v>
      </c>
      <c r="E217" s="8">
        <v>-5.3496400000000019E-3</v>
      </c>
      <c r="F217" s="8">
        <v>1.9312249999999987E-3</v>
      </c>
      <c r="G217" s="8">
        <v>5.9276699999999849E-4</v>
      </c>
    </row>
    <row r="218" spans="1:7" x14ac:dyDescent="0.2">
      <c r="A218" s="2">
        <v>43708</v>
      </c>
      <c r="B218" s="8">
        <f>'Final Data'!I218</f>
        <v>4.0600893219651414E-3</v>
      </c>
      <c r="C218" s="8">
        <f>'3.8 Data - CAD#USD '!F219/100</f>
        <v>1.4563985639292702E-2</v>
      </c>
      <c r="D218" s="8">
        <f>'3.8 Data - CAD#USD '!G219/100</f>
        <v>1.4800687057220539E-2</v>
      </c>
      <c r="E218" s="8">
        <v>-4.1120860000000018E-3</v>
      </c>
      <c r="F218" s="8">
        <v>1.2942720000000008E-3</v>
      </c>
      <c r="G218" s="8">
        <v>5.9276699999999849E-4</v>
      </c>
    </row>
    <row r="219" spans="1:7" x14ac:dyDescent="0.2">
      <c r="A219" s="2">
        <v>43738</v>
      </c>
      <c r="B219" s="8">
        <f>'Final Data'!I219</f>
        <v>4.6502224019408988E-3</v>
      </c>
      <c r="C219" s="8">
        <f>'3.8 Data - CAD#USD '!F220/100</f>
        <v>1.4195902904478291E-2</v>
      </c>
      <c r="D219" s="8">
        <f>'3.8 Data - CAD#USD '!G220/100</f>
        <v>1.5600942305560462E-2</v>
      </c>
      <c r="E219" s="8">
        <v>-3.2856029999999994E-3</v>
      </c>
      <c r="F219" s="8">
        <v>1.8396250000000003E-3</v>
      </c>
      <c r="G219" s="8">
        <v>5.9276699999999849E-4</v>
      </c>
    </row>
    <row r="220" spans="1:7" x14ac:dyDescent="0.2">
      <c r="A220" s="2">
        <v>43769</v>
      </c>
      <c r="B220" s="8">
        <f>'Final Data'!I220</f>
        <v>-2.0426645200241511E-2</v>
      </c>
      <c r="C220" s="8">
        <f>'3.8 Data - CAD#USD '!F221/100</f>
        <v>1.4195902904478291E-2</v>
      </c>
      <c r="D220" s="8">
        <f>'3.8 Data - CAD#USD '!G221/100</f>
        <v>1.5600942305560462E-2</v>
      </c>
      <c r="E220" s="8">
        <v>-2.5036100000000007E-3</v>
      </c>
      <c r="F220" s="8">
        <v>1.2890399999999991E-3</v>
      </c>
      <c r="G220" s="8">
        <v>2.0139400000000005E-3</v>
      </c>
    </row>
    <row r="221" spans="1:7" x14ac:dyDescent="0.2">
      <c r="A221" s="2">
        <v>43799</v>
      </c>
      <c r="B221" s="8">
        <f>'Final Data'!I221</f>
        <v>9.4504365690806554E-3</v>
      </c>
      <c r="C221" s="8">
        <f>'3.8 Data - CAD#USD '!F222/100</f>
        <v>1.4195902904478291E-2</v>
      </c>
      <c r="D221" s="8">
        <f>'3.8 Data - CAD#USD '!G222/100</f>
        <v>1.5600942305560462E-2</v>
      </c>
      <c r="E221" s="8">
        <v>-3.0865520000000002E-3</v>
      </c>
      <c r="F221" s="8">
        <v>-2.7346999999999787E-5</v>
      </c>
      <c r="G221" s="8">
        <v>2.0139400000000005E-3</v>
      </c>
    </row>
    <row r="222" spans="1:7" x14ac:dyDescent="0.2">
      <c r="A222" s="2">
        <v>43830</v>
      </c>
      <c r="B222" s="8">
        <f>'Final Data'!I222</f>
        <v>-1.913096570672632E-2</v>
      </c>
      <c r="C222" s="8">
        <f>'3.8 Data - CAD#USD '!F223/100</f>
        <v>1.4279391639245602E-2</v>
      </c>
      <c r="D222" s="8">
        <f>'3.8 Data - CAD#USD '!G223/100</f>
        <v>1.6326070916365853E-2</v>
      </c>
      <c r="E222" s="8">
        <v>-2.5397099999999993E-3</v>
      </c>
      <c r="F222" s="8">
        <v>-8.5725300000000009E-4</v>
      </c>
      <c r="G222" s="8">
        <v>2.0139400000000005E-3</v>
      </c>
    </row>
    <row r="223" spans="1:7" x14ac:dyDescent="0.2">
      <c r="A223" s="2">
        <v>43861</v>
      </c>
      <c r="B223" s="8">
        <f>'Final Data'!I223</f>
        <v>1.0374520178441747E-2</v>
      </c>
      <c r="C223" s="8">
        <f>'3.8 Data - CAD#USD '!F224/100</f>
        <v>1.4279391639245602E-2</v>
      </c>
      <c r="D223" s="8">
        <f>'3.8 Data - CAD#USD '!G224/100</f>
        <v>1.6326070916365853E-2</v>
      </c>
      <c r="E223" s="8">
        <v>-2.624907000000001E-3</v>
      </c>
      <c r="F223" s="8">
        <v>-2.1706039999999983E-3</v>
      </c>
      <c r="G223" s="8">
        <v>-1.3629284000000002E-2</v>
      </c>
    </row>
    <row r="224" spans="1:7" x14ac:dyDescent="0.2">
      <c r="A224" s="2">
        <v>43890</v>
      </c>
      <c r="B224" s="8">
        <f>'Final Data'!I224</f>
        <v>7.5983160488756023E-3</v>
      </c>
      <c r="C224" s="8">
        <f>'3.8 Data - CAD#USD '!F225/100</f>
        <v>1.4279391639245602E-2</v>
      </c>
      <c r="D224" s="8">
        <f>'3.8 Data - CAD#USD '!G225/100</f>
        <v>1.6326070916365853E-2</v>
      </c>
      <c r="E224" s="8">
        <v>-2.078424000000001E-3</v>
      </c>
      <c r="F224" s="8">
        <v>-1.1415700000000006E-3</v>
      </c>
      <c r="G224" s="8">
        <v>-1.3629284000000002E-2</v>
      </c>
    </row>
    <row r="225" spans="1:7" x14ac:dyDescent="0.2">
      <c r="A225" s="2">
        <v>43921</v>
      </c>
      <c r="B225" s="8">
        <f>'Final Data'!I225</f>
        <v>9.3753184551105852E-3</v>
      </c>
      <c r="C225" s="8">
        <f>'3.8 Data - CAD#USD '!F226/100</f>
        <v>8.8128487838750671E-3</v>
      </c>
      <c r="D225" s="8">
        <f>'3.8 Data - CAD#USD '!G226/100</f>
        <v>1.3162423742811851E-2</v>
      </c>
      <c r="E225" s="8">
        <v>-6.3227260000000012E-4</v>
      </c>
      <c r="F225" s="8">
        <v>-6.8041539999999989E-3</v>
      </c>
      <c r="G225" s="8">
        <v>-1.3629284000000002E-2</v>
      </c>
    </row>
    <row r="226" spans="1:7" x14ac:dyDescent="0.2">
      <c r="A226" s="2">
        <v>43951</v>
      </c>
      <c r="B226" s="8">
        <f>'Final Data'!I226</f>
        <v>-3.0287733467946633E-4</v>
      </c>
      <c r="C226" s="8">
        <f>'3.8 Data - CAD#USD '!F227/100</f>
        <v>8.8128487838750671E-3</v>
      </c>
      <c r="D226" s="8">
        <f>'3.8 Data - CAD#USD '!G227/100</f>
        <v>1.3162423742811851E-2</v>
      </c>
      <c r="E226" s="8">
        <v>3.26190000000004E-5</v>
      </c>
      <c r="F226" s="8">
        <v>-3.1305562999999997E-3</v>
      </c>
      <c r="G226" s="8">
        <v>1.8279915000000001E-2</v>
      </c>
    </row>
    <row r="227" spans="1:7" x14ac:dyDescent="0.2">
      <c r="A227" s="2">
        <v>43982</v>
      </c>
      <c r="B227" s="8">
        <f>'Final Data'!I227</f>
        <v>-6.8672995354473101E-3</v>
      </c>
      <c r="C227" s="8">
        <f>'3.8 Data - CAD#USD '!F228/100</f>
        <v>8.8128487838750671E-3</v>
      </c>
      <c r="D227" s="8">
        <f>'3.8 Data - CAD#USD '!G228/100</f>
        <v>1.3162423742811851E-2</v>
      </c>
      <c r="E227" s="8">
        <v>-1.1776503999999998E-3</v>
      </c>
      <c r="F227" s="8">
        <v>-6.3937035999999999E-3</v>
      </c>
      <c r="G227" s="8">
        <v>1.8279916E-2</v>
      </c>
    </row>
    <row r="228" spans="1:7" x14ac:dyDescent="0.2">
      <c r="A228" s="2">
        <v>44012</v>
      </c>
      <c r="B228" s="8">
        <f>'Final Data'!I228</f>
        <v>-9.660362009355326E-3</v>
      </c>
      <c r="C228" s="8">
        <f>'3.8 Data - CAD#USD '!F229/100</f>
        <v>-2.2401391016933819E-2</v>
      </c>
      <c r="D228" s="8">
        <f>'3.8 Data - CAD#USD '!G229/100</f>
        <v>-1.866501384529522E-2</v>
      </c>
      <c r="E228" s="8">
        <v>-1.5921800000000008E-3</v>
      </c>
      <c r="F228" s="8">
        <v>-2.7514502E-3</v>
      </c>
      <c r="G228" s="8">
        <v>1.8279916E-2</v>
      </c>
    </row>
    <row r="229" spans="1:7" x14ac:dyDescent="0.2">
      <c r="A229" s="2">
        <v>44043</v>
      </c>
      <c r="B229" s="8">
        <f>'Final Data'!I229</f>
        <v>-4.1482698428996878E-2</v>
      </c>
      <c r="C229" s="8">
        <f>'3.8 Data - CAD#USD '!F230/100</f>
        <v>-2.2401391016933819E-2</v>
      </c>
      <c r="D229" s="8">
        <f>'3.8 Data - CAD#USD '!G230/100</f>
        <v>-1.866501384529522E-2</v>
      </c>
      <c r="E229" s="8">
        <v>-9.8431939999999991E-4</v>
      </c>
      <c r="F229" s="8">
        <v>-9.2354363000000002E-3</v>
      </c>
      <c r="G229" s="8">
        <v>1.1203659999999999E-2</v>
      </c>
    </row>
    <row r="230" spans="1:7" x14ac:dyDescent="0.2">
      <c r="A230" s="2">
        <v>44074</v>
      </c>
      <c r="B230" s="8">
        <f>'Final Data'!I230</f>
        <v>-1.2961971076593399E-2</v>
      </c>
      <c r="C230" s="8">
        <f>'3.8 Data - CAD#USD '!F231/100</f>
        <v>-2.2401391016933819E-2</v>
      </c>
      <c r="D230" s="8">
        <f>'3.8 Data - CAD#USD '!G231/100</f>
        <v>-1.866501384529522E-2</v>
      </c>
      <c r="E230" s="8">
        <v>-8.6847750000000005E-4</v>
      </c>
      <c r="F230" s="8">
        <v>-9.8781106E-3</v>
      </c>
      <c r="G230" s="8">
        <v>1.1203659999999999E-2</v>
      </c>
    </row>
    <row r="231" spans="1:7" x14ac:dyDescent="0.2">
      <c r="A231" s="2">
        <v>44104</v>
      </c>
      <c r="B231" s="8">
        <f>'Final Data'!I231</f>
        <v>1.8992836987193402E-2</v>
      </c>
      <c r="C231" s="8">
        <f>'3.8 Data - CAD#USD '!F232/100</f>
        <v>-1.5236131438860854E-2</v>
      </c>
      <c r="D231" s="8">
        <f>'3.8 Data - CAD#USD '!G232/100</f>
        <v>-7.4465804164323213E-3</v>
      </c>
      <c r="E231" s="8">
        <v>-1.1375234E-3</v>
      </c>
      <c r="F231" s="8">
        <v>-8.0408705999999996E-3</v>
      </c>
      <c r="G231" s="8">
        <v>1.1203659999999999E-2</v>
      </c>
    </row>
    <row r="232" spans="1:7" x14ac:dyDescent="0.2">
      <c r="A232" s="2">
        <v>44135</v>
      </c>
      <c r="B232" s="8">
        <f>'Final Data'!I232</f>
        <v>1.5976142294174638E-3</v>
      </c>
      <c r="C232" s="8">
        <f>'3.8 Data - CAD#USD '!F233/100</f>
        <v>-1.5236131438860854E-2</v>
      </c>
      <c r="D232" s="8">
        <f>'3.8 Data - CAD#USD '!G233/100</f>
        <v>-7.4465804164323213E-3</v>
      </c>
      <c r="E232" s="8">
        <v>-1.7171346999999993E-3</v>
      </c>
      <c r="F232" s="8">
        <v>-6.4515159999999992E-3</v>
      </c>
      <c r="G232" s="8">
        <v>2.4931473500000002E-2</v>
      </c>
    </row>
    <row r="233" spans="1:7" x14ac:dyDescent="0.2">
      <c r="A233" s="2">
        <v>44165</v>
      </c>
      <c r="B233" s="8">
        <f>'Final Data'!I233</f>
        <v>-2.3075287111867307E-2</v>
      </c>
      <c r="C233" s="8">
        <f>'3.8 Data - CAD#USD '!F234/100</f>
        <v>-1.5236131438860854E-2</v>
      </c>
      <c r="D233" s="8">
        <f>'3.8 Data - CAD#USD '!G234/100</f>
        <v>-7.4465804164323213E-3</v>
      </c>
      <c r="E233" s="8">
        <v>-1.7655509999999998E-3</v>
      </c>
      <c r="F233" s="8">
        <v>-2.9854985000000002E-3</v>
      </c>
      <c r="G233" s="8">
        <v>2.4931473500000002E-2</v>
      </c>
    </row>
    <row r="234" spans="1:7" x14ac:dyDescent="0.2">
      <c r="A234" s="2">
        <v>44196</v>
      </c>
      <c r="B234" s="8">
        <f>'Final Data'!I234</f>
        <v>-2.1007946010667321E-2</v>
      </c>
      <c r="C234" s="8">
        <f>'3.8 Data - CAD#USD '!F235/100</f>
        <v>-1.2642402286689758E-2</v>
      </c>
      <c r="D234" s="8">
        <f>'3.8 Data - CAD#USD '!G235/100</f>
        <v>-2.6368375431709682E-3</v>
      </c>
      <c r="E234" s="8">
        <v>-1.9855468999999994E-3</v>
      </c>
      <c r="F234" s="8">
        <v>-4.4643143999999997E-3</v>
      </c>
      <c r="G234" s="8">
        <v>2.4931473500000002E-2</v>
      </c>
    </row>
    <row r="235" spans="1:7" x14ac:dyDescent="0.2">
      <c r="A235" s="2">
        <v>44227</v>
      </c>
      <c r="B235" s="8">
        <f>'Final Data'!I235</f>
        <v>7.1158550144540872E-3</v>
      </c>
      <c r="C235" s="8">
        <f>'3.8 Data - CAD#USD '!F236/100</f>
        <v>-1.2642402286689758E-2</v>
      </c>
      <c r="D235" s="8">
        <f>'3.8 Data - CAD#USD '!G236/100</f>
        <v>-2.6368375431709682E-3</v>
      </c>
      <c r="E235" s="8">
        <v>-2.5813693999999989E-3</v>
      </c>
      <c r="F235" s="8">
        <v>-1.9166550000000004E-3</v>
      </c>
      <c r="G235" s="8">
        <v>3.3008102499999997E-2</v>
      </c>
    </row>
    <row r="236" spans="1:7" x14ac:dyDescent="0.2">
      <c r="A236" s="2">
        <v>44255</v>
      </c>
      <c r="B236" s="8">
        <f>'Final Data'!I236</f>
        <v>3.3119894016338833E-3</v>
      </c>
      <c r="C236" s="8">
        <f>'3.8 Data - CAD#USD '!F237/100</f>
        <v>-1.2642402286689758E-2</v>
      </c>
      <c r="D236" s="8">
        <f>'3.8 Data - CAD#USD '!G237/100</f>
        <v>-2.6368375431709682E-3</v>
      </c>
      <c r="E236" s="8">
        <v>-1.4533679999999994E-3</v>
      </c>
      <c r="F236" s="8">
        <v>-4.3292529999999999E-3</v>
      </c>
      <c r="G236" s="8">
        <v>3.3008102499999997E-2</v>
      </c>
    </row>
    <row r="237" spans="1:7" x14ac:dyDescent="0.2">
      <c r="A237" s="2">
        <v>44286</v>
      </c>
      <c r="B237" s="8">
        <f>'Final Data'!I237</f>
        <v>2.5858274647887418E-2</v>
      </c>
      <c r="C237" s="8">
        <f>'3.8 Data - CAD#USD '!F238/100</f>
        <v>1.1678927027772457E-2</v>
      </c>
      <c r="D237" s="8">
        <f>'3.8 Data - CAD#USD '!G238/100</f>
        <v>1.4035336245860515E-2</v>
      </c>
      <c r="E237" s="8">
        <v>-1.0764759999999996E-3</v>
      </c>
      <c r="F237" s="8">
        <v>-2.758980000000002E-3</v>
      </c>
      <c r="G237" s="8">
        <v>3.3008102499999997E-2</v>
      </c>
    </row>
    <row r="238" spans="1:7" x14ac:dyDescent="0.2">
      <c r="A238" s="2">
        <v>44316</v>
      </c>
      <c r="B238" s="8">
        <f>'Final Data'!I238</f>
        <v>-2.0916014158532691E-2</v>
      </c>
      <c r="C238" s="8">
        <f>'3.8 Data - CAD#USD '!F239/100</f>
        <v>1.1678927027772457E-2</v>
      </c>
      <c r="D238" s="8">
        <f>'3.8 Data - CAD#USD '!G239/100</f>
        <v>1.4035336245860515E-2</v>
      </c>
      <c r="E238" s="8">
        <v>-1.0150959999999998E-3</v>
      </c>
      <c r="F238" s="8">
        <v>-9.6629450000000009E-3</v>
      </c>
      <c r="G238" s="8">
        <v>3.1999200999999998E-2</v>
      </c>
    </row>
    <row r="239" spans="1:7" x14ac:dyDescent="0.2">
      <c r="A239" s="2">
        <v>44347</v>
      </c>
      <c r="B239" s="8">
        <f>'Final Data'!I239</f>
        <v>-1.3694127957931639E-2</v>
      </c>
      <c r="C239" s="8">
        <f>'3.8 Data - CAD#USD '!F240/100</f>
        <v>1.1678927027772457E-2</v>
      </c>
      <c r="D239" s="8">
        <f>'3.8 Data - CAD#USD '!G240/100</f>
        <v>1.4035336245860515E-2</v>
      </c>
      <c r="E239" s="8">
        <v>-8.3359699999999929E-4</v>
      </c>
      <c r="F239" s="8">
        <v>-1.3075651999999995E-2</v>
      </c>
      <c r="G239" s="8">
        <v>3.19992017E-2</v>
      </c>
    </row>
    <row r="240" spans="1:7" x14ac:dyDescent="0.2">
      <c r="A240" s="2">
        <v>44377</v>
      </c>
      <c r="B240" s="8">
        <f>'Final Data'!I240</f>
        <v>2.6768854826169017E-2</v>
      </c>
      <c r="C240" s="8">
        <f>'3.8 Data - CAD#USD '!F241/100</f>
        <v>2.404002176533163E-2</v>
      </c>
      <c r="D240" s="8">
        <f>'3.8 Data - CAD#USD '!G241/100</f>
        <v>2.3656766892583069E-2</v>
      </c>
      <c r="E240" s="8">
        <v>-8.5490899999999929E-4</v>
      </c>
      <c r="F240" s="8">
        <v>-2.2404916E-2</v>
      </c>
      <c r="G240" s="8">
        <v>3.1999201400000003E-2</v>
      </c>
    </row>
    <row r="241" spans="1:7" x14ac:dyDescent="0.2">
      <c r="A241" s="2">
        <v>44408</v>
      </c>
      <c r="B241" s="8">
        <f>'Final Data'!I241</f>
        <v>-2.9208135006490265E-3</v>
      </c>
      <c r="C241" s="8">
        <f>'3.8 Data - CAD#USD '!F242/100</f>
        <v>2.404002176533163E-2</v>
      </c>
      <c r="D241" s="8">
        <f>'3.8 Data - CAD#USD '!G242/100</f>
        <v>2.3656766892583069E-2</v>
      </c>
      <c r="E241" s="8">
        <v>-5.6443100000000076E-4</v>
      </c>
      <c r="F241" s="8">
        <v>-1.6794350000000003E-2</v>
      </c>
      <c r="G241" s="8">
        <v>3.2870218999999999E-2</v>
      </c>
    </row>
    <row r="242" spans="1:7" x14ac:dyDescent="0.2">
      <c r="A242" s="2">
        <v>44439</v>
      </c>
      <c r="B242" s="8">
        <f>'Final Data'!I242</f>
        <v>4.9907779103829202E-3</v>
      </c>
      <c r="C242" s="8">
        <f>'3.8 Data - CAD#USD '!F243/100</f>
        <v>2.404002176533163E-2</v>
      </c>
      <c r="D242" s="8">
        <f>'3.8 Data - CAD#USD '!G243/100</f>
        <v>2.3656766892583069E-2</v>
      </c>
      <c r="E242" s="8">
        <v>-8.7472999999999913E-4</v>
      </c>
      <c r="F242" s="8">
        <v>-1.1608740000000006E-2</v>
      </c>
      <c r="G242" s="8">
        <v>3.2870218999999999E-2</v>
      </c>
    </row>
    <row r="243" spans="1:7" x14ac:dyDescent="0.2">
      <c r="A243" s="2">
        <v>44469</v>
      </c>
      <c r="B243" s="8">
        <f>'Final Data'!I243</f>
        <v>1.7273021699233601E-2</v>
      </c>
      <c r="C243" s="8">
        <f>'3.8 Data - CAD#USD '!F244/100</f>
        <v>1.8736333033093851E-2</v>
      </c>
      <c r="D243" s="8">
        <f>'3.8 Data - CAD#USD '!G244/100</f>
        <v>1.8147401166451135E-2</v>
      </c>
      <c r="E243" s="8">
        <v>-9.4890299999999877E-4</v>
      </c>
      <c r="F243" s="8">
        <v>-9.8715270000000015E-3</v>
      </c>
      <c r="G243" s="8">
        <v>3.2870218999999999E-2</v>
      </c>
    </row>
    <row r="244" spans="1:7" x14ac:dyDescent="0.2">
      <c r="A244" s="2">
        <v>44500</v>
      </c>
      <c r="B244" s="8">
        <f>'Final Data'!I244</f>
        <v>-1.167356468216061E-3</v>
      </c>
      <c r="C244" s="8">
        <f>'3.8 Data - CAD#USD '!F245/100</f>
        <v>1.8736333033093851E-2</v>
      </c>
      <c r="D244" s="8">
        <f>'3.8 Data - CAD#USD '!G245/100</f>
        <v>1.8147401166451135E-2</v>
      </c>
      <c r="E244" s="8">
        <v>2.2576299999999883E-4</v>
      </c>
      <c r="F244" s="8">
        <v>-1.5720536999999996E-2</v>
      </c>
      <c r="G244" s="8">
        <v>3.63278093E-2</v>
      </c>
    </row>
    <row r="245" spans="1:7" x14ac:dyDescent="0.2">
      <c r="A245" s="2">
        <v>44530</v>
      </c>
      <c r="B245" s="8">
        <f>'Final Data'!I245</f>
        <v>1.9868253293667554E-2</v>
      </c>
      <c r="C245" s="8">
        <f>'3.8 Data - CAD#USD '!F246/100</f>
        <v>1.8736333033093851E-2</v>
      </c>
      <c r="D245" s="8">
        <f>'3.8 Data - CAD#USD '!G246/100</f>
        <v>1.8147401166451135E-2</v>
      </c>
      <c r="E245" s="8">
        <v>1.2473819999999991E-3</v>
      </c>
      <c r="F245" s="8">
        <v>-2.1554184000000004E-2</v>
      </c>
      <c r="G245" s="8">
        <v>3.63278093E-2</v>
      </c>
    </row>
    <row r="246" spans="1:7" x14ac:dyDescent="0.2">
      <c r="A246" s="2">
        <v>44561</v>
      </c>
      <c r="B246" s="8">
        <f>'Final Data'!I246</f>
        <v>-2.0835503698297763E-4</v>
      </c>
      <c r="C246" s="8">
        <f>'3.8 Data - CAD#USD '!F247/100</f>
        <v>1.8649345788013572E-2</v>
      </c>
      <c r="D246" s="8">
        <f>'3.8 Data - CAD#USD '!G247/100</f>
        <v>1.8873284764387446E-2</v>
      </c>
      <c r="E246" s="8">
        <v>-1.0499899999999896E-4</v>
      </c>
      <c r="F246" s="8">
        <v>-2.3219005000000001E-2</v>
      </c>
      <c r="G246" s="8">
        <v>3.6327809339999996E-2</v>
      </c>
    </row>
    <row r="247" spans="1:7" x14ac:dyDescent="0.2">
      <c r="A247" s="2">
        <v>44592</v>
      </c>
      <c r="B247" s="8">
        <f>'Final Data'!I247</f>
        <v>5.9393560487653162E-3</v>
      </c>
      <c r="C247" s="8">
        <f>'3.8 Data - CAD#USD '!F248/100</f>
        <v>1.8649345788013572E-2</v>
      </c>
      <c r="D247" s="8">
        <f>'3.8 Data - CAD#USD '!G248/100</f>
        <v>1.8873284764387446E-2</v>
      </c>
      <c r="E247" s="8">
        <v>-2.9554899999999939E-4</v>
      </c>
      <c r="F247" s="8">
        <v>-2.4019586000000002E-2</v>
      </c>
      <c r="G247" s="8">
        <v>5.0058191999999994E-2</v>
      </c>
    </row>
    <row r="248" spans="1:7" x14ac:dyDescent="0.2">
      <c r="A248" s="2">
        <v>44620</v>
      </c>
      <c r="B248" s="8">
        <f>'Final Data'!I248</f>
        <v>1.7609281126992696E-3</v>
      </c>
      <c r="C248" s="8">
        <f>'3.8 Data - CAD#USD '!F249/100</f>
        <v>1.8649345788013572E-2</v>
      </c>
      <c r="D248" s="8">
        <f>'3.8 Data - CAD#USD '!G249/100</f>
        <v>1.8873284764387446E-2</v>
      </c>
      <c r="E248" s="8">
        <v>-5.7684200000000189E-4</v>
      </c>
      <c r="F248" s="8">
        <v>-2.2820787000000006E-2</v>
      </c>
      <c r="G248" s="8">
        <v>5.0058191000000002E-2</v>
      </c>
    </row>
    <row r="249" spans="1:7" x14ac:dyDescent="0.2">
      <c r="A249" s="2">
        <v>44651</v>
      </c>
      <c r="B249" s="8">
        <f>'Final Data'!I249</f>
        <v>1.6544307724123759E-2</v>
      </c>
      <c r="C249" s="8">
        <f>'3.8 Data - CAD#USD '!F250/100</f>
        <v>1.7762144436430018E-2</v>
      </c>
      <c r="D249" s="8">
        <f>'3.8 Data - CAD#USD '!G250/100</f>
        <v>1.711659526835518E-2</v>
      </c>
      <c r="E249" s="8">
        <v>3.0782000000000309E-5</v>
      </c>
      <c r="F249" s="8">
        <v>-1.8024265000000001E-2</v>
      </c>
      <c r="G249" s="8">
        <v>5.0058191000000002E-2</v>
      </c>
    </row>
    <row r="250" spans="1:7" x14ac:dyDescent="0.2">
      <c r="A250" s="2">
        <v>44681</v>
      </c>
      <c r="B250" s="8">
        <f>'Final Data'!I250</f>
        <v>4.7299359169972445E-2</v>
      </c>
      <c r="C250" s="8">
        <f>'3.8 Data - CAD#USD '!F251/100</f>
        <v>1.7762144436430018E-2</v>
      </c>
      <c r="D250" s="8">
        <f>'3.8 Data - CAD#USD '!G251/100</f>
        <v>1.711659526835518E-2</v>
      </c>
      <c r="E250" s="8">
        <v>-4.3839800000000206E-4</v>
      </c>
      <c r="F250" s="8">
        <v>-1.4445885E-2</v>
      </c>
      <c r="G250" s="8">
        <v>4.5478663000000003E-2</v>
      </c>
    </row>
    <row r="251" spans="1:7" x14ac:dyDescent="0.2">
      <c r="A251" s="2">
        <v>44712</v>
      </c>
      <c r="B251" s="8">
        <f>'Final Data'!I251</f>
        <v>-1.1752136752136691E-2</v>
      </c>
      <c r="C251" s="8">
        <f>'3.8 Data - CAD#USD '!F252/100</f>
        <v>1.7762144436430018E-2</v>
      </c>
      <c r="D251" s="8">
        <f>'3.8 Data - CAD#USD '!G252/100</f>
        <v>1.711659526835518E-2</v>
      </c>
      <c r="E251" s="8">
        <v>2.0180900000000169E-4</v>
      </c>
      <c r="F251" s="8">
        <v>-8.3224900000000001E-3</v>
      </c>
      <c r="G251" s="8">
        <v>4.5478663000000003E-2</v>
      </c>
    </row>
    <row r="252" spans="1:7" x14ac:dyDescent="0.2">
      <c r="A252" s="2">
        <v>44742</v>
      </c>
      <c r="B252" s="8">
        <f>'Final Data'!I252</f>
        <v>2.8894348894348873E-2</v>
      </c>
      <c r="C252" s="8">
        <f>'3.8 Data - CAD#USD '!F253/100</f>
        <v>1.8859959932397231E-2</v>
      </c>
      <c r="D252" s="8">
        <f>'3.8 Data - CAD#USD '!G253/100</f>
        <v>1.5152456622908577E-2</v>
      </c>
      <c r="E252" s="8">
        <v>1.7245650000000002E-3</v>
      </c>
      <c r="F252" s="8">
        <v>-8.2588500000000137E-3</v>
      </c>
      <c r="G252" s="8">
        <v>4.5478663000000003E-2</v>
      </c>
    </row>
    <row r="253" spans="1:7" x14ac:dyDescent="0.2">
      <c r="A253" s="2">
        <v>44773</v>
      </c>
      <c r="B253" s="8">
        <f>'Final Data'!I253</f>
        <v>1.1557932944884974E-2</v>
      </c>
      <c r="C253" s="8">
        <f>'3.8 Data - CAD#USD '!F254/100</f>
        <v>1.8859959932397231E-2</v>
      </c>
      <c r="D253" s="8">
        <f>'3.8 Data - CAD#USD '!G254/100</f>
        <v>1.5152456622908577E-2</v>
      </c>
      <c r="E253" s="8">
        <v>1.3067010000000013E-3</v>
      </c>
      <c r="F253" s="8">
        <v>-8.0987150000000081E-3</v>
      </c>
      <c r="G253" s="8">
        <v>2.0805094000000003E-2</v>
      </c>
    </row>
    <row r="254" spans="1:7" x14ac:dyDescent="0.2">
      <c r="A254" s="2">
        <v>44804</v>
      </c>
      <c r="B254" s="8">
        <f>'Final Data'!I254</f>
        <v>2.6440037771482502E-2</v>
      </c>
      <c r="C254" s="8">
        <f>'3.8 Data - CAD#USD '!F255/100</f>
        <v>1.8859959932397231E-2</v>
      </c>
      <c r="D254" s="8">
        <f>'3.8 Data - CAD#USD '!G255/100</f>
        <v>1.5152456622908577E-2</v>
      </c>
      <c r="E254" s="8">
        <v>-4.9974399999999977E-4</v>
      </c>
      <c r="F254" s="8">
        <v>-1.3293725000000008E-2</v>
      </c>
      <c r="G254" s="8">
        <v>2.0805094000000003E-2</v>
      </c>
    </row>
    <row r="255" spans="1:7" x14ac:dyDescent="0.2">
      <c r="A255" s="2">
        <v>44834</v>
      </c>
      <c r="B255" s="8">
        <f>'Final Data'!I255</f>
        <v>3.1462741490340403E-2</v>
      </c>
      <c r="C255" s="8">
        <f>'3.8 Data - CAD#USD '!F256/100</f>
        <v>1.7378140073923781E-2</v>
      </c>
      <c r="D255" s="8">
        <f>'3.8 Data - CAD#USD '!G256/100</f>
        <v>1.4882754246254626E-2</v>
      </c>
      <c r="E255" s="8">
        <v>-3.6766699999999995E-3</v>
      </c>
      <c r="F255" s="8">
        <v>-1.4272789999999995E-2</v>
      </c>
      <c r="G255" s="8">
        <v>2.0805093E-2</v>
      </c>
    </row>
    <row r="256" spans="1:7" x14ac:dyDescent="0.2">
      <c r="A256" s="2">
        <v>44865</v>
      </c>
      <c r="B256" s="8">
        <f>'Final Data'!I256</f>
        <v>-5.2622190510167978E-3</v>
      </c>
      <c r="C256" s="8">
        <f>'3.8 Data - CAD#USD '!F257/100</f>
        <v>1.7378140073923781E-2</v>
      </c>
      <c r="D256" s="8">
        <f>'3.8 Data - CAD#USD '!G257/100</f>
        <v>1.4882754246254626E-2</v>
      </c>
      <c r="E256" s="8">
        <v>-5.8889079999999974E-3</v>
      </c>
      <c r="F256" s="8">
        <v>-9.469677000000001E-3</v>
      </c>
      <c r="G256" s="8">
        <v>2.2518943E-2</v>
      </c>
    </row>
    <row r="257" spans="1:7" x14ac:dyDescent="0.2">
      <c r="A257" s="2">
        <v>44895</v>
      </c>
      <c r="B257" s="8">
        <f>'Final Data'!I257</f>
        <v>-5.003138169102482E-2</v>
      </c>
      <c r="C257" s="8">
        <f>'3.8 Data - CAD#USD '!F258/100</f>
        <v>1.7378140073923781E-2</v>
      </c>
      <c r="D257" s="8">
        <f>'3.8 Data - CAD#USD '!G258/100</f>
        <v>1.4882754246254626E-2</v>
      </c>
      <c r="E257" s="8">
        <v>-7.0695229999999977E-3</v>
      </c>
      <c r="F257" s="8">
        <v>-3.493661999999995E-3</v>
      </c>
      <c r="G257" s="8">
        <v>2.2518943E-2</v>
      </c>
    </row>
    <row r="258" spans="1:7" x14ac:dyDescent="0.2">
      <c r="A258" s="2">
        <v>44926</v>
      </c>
      <c r="B258" s="8">
        <f>'Final Data'!I258</f>
        <v>-2.2935346861727293E-2</v>
      </c>
      <c r="C258" s="8">
        <f>'3.8 Data - CAD#USD '!F259/100</f>
        <v>1.4839478237892126E-2</v>
      </c>
      <c r="D258" s="8">
        <f>'3.8 Data - CAD#USD '!G259/100</f>
        <v>1.3231142606487591E-2</v>
      </c>
      <c r="E258" s="8">
        <v>-6.6275219999999994E-3</v>
      </c>
      <c r="F258" s="8">
        <v>-2.1248999999999986E-3</v>
      </c>
      <c r="G258" s="8">
        <v>2.2518943E-2</v>
      </c>
    </row>
    <row r="259" spans="1:7" x14ac:dyDescent="0.2">
      <c r="A259" s="2">
        <v>44957</v>
      </c>
      <c r="B259" s="8">
        <f>'Final Data'!I259</f>
        <v>-1.371715610510048E-2</v>
      </c>
      <c r="C259" s="8">
        <f>'3.8 Data - CAD#USD '!F260/100</f>
        <v>1.4839478237892126E-2</v>
      </c>
      <c r="D259" s="8">
        <f>'3.8 Data - CAD#USD '!G260/100</f>
        <v>1.3231142606487591E-2</v>
      </c>
      <c r="E259" s="8">
        <v>-5.943946000000002E-3</v>
      </c>
      <c r="F259" s="8">
        <v>-4.6196269999999994E-3</v>
      </c>
      <c r="G259" s="8">
        <v>2.8154814E-2</v>
      </c>
    </row>
    <row r="260" spans="1:7" x14ac:dyDescent="0.2">
      <c r="A260" s="2">
        <v>44985</v>
      </c>
      <c r="B260" s="8">
        <f>'Final Data'!I260</f>
        <v>2.7130264446621061E-2</v>
      </c>
      <c r="C260" s="8">
        <f>'3.8 Data - CAD#USD '!F261/100</f>
        <v>1.4839478237892126E-2</v>
      </c>
      <c r="D260" s="8">
        <f>'3.8 Data - CAD#USD '!G261/100</f>
        <v>1.3231142606487591E-2</v>
      </c>
      <c r="E260" s="8">
        <v>-5.7055230000000014E-3</v>
      </c>
      <c r="F260" s="8">
        <v>-5.9444400000000022E-3</v>
      </c>
      <c r="G260" s="8">
        <v>2.8154814E-2</v>
      </c>
    </row>
    <row r="261" spans="1:7" x14ac:dyDescent="0.2">
      <c r="A261" s="2">
        <v>45016</v>
      </c>
      <c r="B261" s="8">
        <f>'Final Data'!I261</f>
        <v>-2.2504052636597684E-2</v>
      </c>
      <c r="C261" s="8">
        <f>'3.8 Data - CAD#USD '!F262/100</f>
        <v>1.5012085667235353E-2</v>
      </c>
      <c r="D261" s="8">
        <f>'3.8 Data - CAD#USD '!G262/100</f>
        <v>1.4859139132822665E-2</v>
      </c>
      <c r="E261" s="8">
        <v>-6.6695670000000004E-3</v>
      </c>
      <c r="F261" s="8">
        <v>-5.6600960000000007E-3</v>
      </c>
      <c r="G261" s="8">
        <v>2.8154813000000001E-2</v>
      </c>
    </row>
    <row r="262" spans="1:7" x14ac:dyDescent="0.2">
      <c r="A262" s="2">
        <v>45046</v>
      </c>
      <c r="B262" s="8">
        <f>'Final Data'!I262</f>
        <v>-8.2918739635158365E-3</v>
      </c>
      <c r="C262" s="8">
        <f>'3.8 Data - CAD#USD '!F263/100</f>
        <v>1.5012085667235353E-2</v>
      </c>
      <c r="D262" s="8">
        <f>'3.8 Data - CAD#USD '!G263/100</f>
        <v>1.4859139132822665E-2</v>
      </c>
      <c r="E262" s="8">
        <v>-5.5718969999999993E-3</v>
      </c>
      <c r="F262" s="8">
        <v>-5.292680000000001E-3</v>
      </c>
      <c r="G262" s="8">
        <v>2.6078403000000003E-2</v>
      </c>
    </row>
    <row r="263" spans="1:7" x14ac:dyDescent="0.2">
      <c r="A263" s="2">
        <v>45077</v>
      </c>
      <c r="B263" s="8">
        <f>'Final Data'!I263</f>
        <v>2.6264017312610681E-2</v>
      </c>
      <c r="C263" s="8">
        <f>'3.8 Data - CAD#USD '!F264/100</f>
        <v>1.5012085667235353E-2</v>
      </c>
      <c r="D263" s="8">
        <f>'3.8 Data - CAD#USD '!G264/100</f>
        <v>1.4859139132822665E-2</v>
      </c>
      <c r="E263" s="8">
        <v>-5.2957760000000012E-3</v>
      </c>
      <c r="F263" s="8">
        <v>-8.1625000000000014E-3</v>
      </c>
      <c r="G263" s="8">
        <v>2.6078404000000003E-2</v>
      </c>
    </row>
    <row r="264" spans="1:7" x14ac:dyDescent="0.2">
      <c r="A264" s="2">
        <v>45107</v>
      </c>
      <c r="B264" s="8">
        <f>'Final Data'!I264</f>
        <v>-1.361065848749163E-2</v>
      </c>
      <c r="C264" s="8">
        <f>'3.8 Data - CAD#USD '!F265/100</f>
        <v>1.382411435236831E-2</v>
      </c>
      <c r="D264" s="8">
        <f>'3.8 Data - CAD#USD '!G265/100</f>
        <v>1.5644992290422672E-2</v>
      </c>
      <c r="E264" s="8">
        <v>-4.0664279999999978E-3</v>
      </c>
      <c r="F264" s="8">
        <v>-2.3402379999999967E-3</v>
      </c>
      <c r="G264" s="8">
        <v>2.6078403000000003E-2</v>
      </c>
    </row>
    <row r="265" spans="1:7" x14ac:dyDescent="0.2">
      <c r="A265" s="2">
        <v>45138</v>
      </c>
      <c r="B265" s="8">
        <f>'Final Data'!I265</f>
        <v>-1.0203090078709525E-2</v>
      </c>
      <c r="C265" s="8">
        <f>'3.8 Data - CAD#USD '!F266/100</f>
        <v>1.382411435236831E-2</v>
      </c>
      <c r="D265" s="8">
        <f>'3.8 Data - CAD#USD '!G266/100</f>
        <v>1.5644992290422672E-2</v>
      </c>
      <c r="E265" s="8">
        <v>-4.4241479999999993E-3</v>
      </c>
      <c r="F265" s="8">
        <v>4.8327000000001342E-5</v>
      </c>
      <c r="G265" s="8">
        <v>2.0732270000000001E-2</v>
      </c>
    </row>
    <row r="266" spans="1:7" x14ac:dyDescent="0.2">
      <c r="A266" s="2">
        <v>45169</v>
      </c>
      <c r="B266" s="8">
        <f>'Final Data'!I266</f>
        <v>1.7278617710583203E-2</v>
      </c>
      <c r="C266" s="8">
        <f>'3.8 Data - CAD#USD '!F267/100</f>
        <v>1.382411435236831E-2</v>
      </c>
      <c r="D266" s="8">
        <f>'3.8 Data - CAD#USD '!G267/100</f>
        <v>1.5644992290422672E-2</v>
      </c>
      <c r="E266" s="8">
        <v>-5.1195239999999977E-3</v>
      </c>
      <c r="F266" s="8">
        <v>2.9188349999999998E-3</v>
      </c>
      <c r="G266" s="8">
        <v>2.0732270000000001E-2</v>
      </c>
    </row>
    <row r="267" spans="1:7" x14ac:dyDescent="0.2">
      <c r="A267" s="2">
        <v>45199</v>
      </c>
      <c r="B267" s="8">
        <f>'Final Data'!I267</f>
        <v>2.5091681142636501E-2</v>
      </c>
      <c r="C267" s="8">
        <f>'3.8 Data - CAD#USD '!F268/100</f>
        <v>1.2365307119289921E-2</v>
      </c>
      <c r="D267" s="8">
        <f>'3.8 Data - CAD#USD '!G268/100</f>
        <v>1.6180448648406801E-2</v>
      </c>
      <c r="E267" s="8">
        <v>-5.5909530000000009E-3</v>
      </c>
      <c r="F267" s="8">
        <v>1.0074329999999999E-3</v>
      </c>
      <c r="G267" s="8">
        <v>2.0732268999999998E-2</v>
      </c>
    </row>
    <row r="268" spans="1:7" x14ac:dyDescent="0.2">
      <c r="A268" s="2">
        <v>45230</v>
      </c>
      <c r="B268" s="8">
        <f>'Final Data'!I268</f>
        <v>4.1423460741856315E-3</v>
      </c>
      <c r="C268" s="8">
        <f>'3.8 Data - CAD#USD '!F269/100</f>
        <v>1.2365307119289921E-2</v>
      </c>
      <c r="D268" s="8">
        <f>'3.8 Data - CAD#USD '!G269/100</f>
        <v>1.6180448648406801E-2</v>
      </c>
      <c r="E268" s="8">
        <v>-7.220044999999997E-3</v>
      </c>
      <c r="F268" s="8">
        <v>-1.2357179999999968E-3</v>
      </c>
      <c r="G268" s="8">
        <v>3.3786049700000001E-2</v>
      </c>
    </row>
    <row r="269" spans="1:7" x14ac:dyDescent="0.2">
      <c r="A269" s="2">
        <v>45260</v>
      </c>
      <c r="B269" s="8">
        <f>'Final Data'!I269</f>
        <v>-2.9626851678229857E-2</v>
      </c>
      <c r="C269" s="8">
        <f>'3.8 Data - CAD#USD '!F270/100</f>
        <v>1.2365307119289921E-2</v>
      </c>
      <c r="D269" s="8">
        <f>'3.8 Data - CAD#USD '!G270/100</f>
        <v>1.6180448648406801E-2</v>
      </c>
      <c r="E269" s="8">
        <v>-7.7713300000000008E-3</v>
      </c>
      <c r="F269" s="8">
        <v>-9.3843899999999979E-4</v>
      </c>
      <c r="G269" s="8">
        <v>3.3786049700000001E-2</v>
      </c>
    </row>
    <row r="270" spans="1:7" x14ac:dyDescent="0.2">
      <c r="A270" s="2">
        <v>45291</v>
      </c>
      <c r="B270" s="8">
        <f>'Final Data'!I270</f>
        <v>-2.0966183574879244E-2</v>
      </c>
      <c r="C270" s="8">
        <f>'3.8 Data - CAD#USD '!F271/100</f>
        <v>1.3030517259874398E-2</v>
      </c>
      <c r="D270" s="8">
        <f>'3.8 Data - CAD#USD '!G271/100</f>
        <v>1.6129424733692631E-2</v>
      </c>
      <c r="E270" s="8">
        <v>-7.7808900000000004E-3</v>
      </c>
      <c r="F270" s="8">
        <v>5.0054499999999894E-4</v>
      </c>
      <c r="G270" s="8">
        <v>3.37860496E-2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C652-7B7F-8C48-B4F4-0DDE42FD5CFD}">
  <dimension ref="A1:Q270"/>
  <sheetViews>
    <sheetView zoomScale="110" workbookViewId="0">
      <selection activeCell="O30" sqref="O30"/>
    </sheetView>
  </sheetViews>
  <sheetFormatPr baseColWidth="10" defaultRowHeight="16" x14ac:dyDescent="0.2"/>
  <cols>
    <col min="1" max="1" width="16.6640625" customWidth="1"/>
    <col min="2" max="2" width="20.1640625" bestFit="1" customWidth="1"/>
    <col min="3" max="3" width="16.5" bestFit="1" customWidth="1"/>
    <col min="4" max="4" width="16.6640625" bestFit="1" customWidth="1"/>
    <col min="5" max="5" width="22" bestFit="1" customWidth="1"/>
    <col min="6" max="6" width="22.5" bestFit="1" customWidth="1"/>
    <col min="7" max="7" width="24.83203125" bestFit="1" customWidth="1"/>
    <col min="9" max="9" width="24.83203125" bestFit="1" customWidth="1"/>
    <col min="11" max="11" width="13.5" bestFit="1" customWidth="1"/>
    <col min="14" max="14" width="13" bestFit="1" customWidth="1"/>
  </cols>
  <sheetData>
    <row r="1" spans="1:17" x14ac:dyDescent="0.2">
      <c r="A1" s="1" t="s">
        <v>0</v>
      </c>
      <c r="B1" t="s">
        <v>31</v>
      </c>
      <c r="C1" s="43" t="s">
        <v>59</v>
      </c>
      <c r="D1" s="43" t="s">
        <v>58</v>
      </c>
      <c r="E1" t="str" cm="1">
        <f t="array" ref="E1:G270">'3.8 Data EUR#USD'!J2:L271</f>
        <v>Interest Rate Differential</v>
      </c>
      <c r="F1" t="str">
        <v>Inflation Rate Differential</v>
      </c>
      <c r="G1" t="str">
        <v>Account Balance Differential</v>
      </c>
      <c r="I1" t="s">
        <v>5</v>
      </c>
    </row>
    <row r="2" spans="1:17" ht="17" thickBot="1" x14ac:dyDescent="0.25">
      <c r="A2" s="2">
        <v>37134</v>
      </c>
      <c r="C2" s="8">
        <f>'3.8 Data EUR#USD'!F3/100</f>
        <v>1.4973390453010034E-2</v>
      </c>
      <c r="D2" s="8">
        <f>'3.8 Data EUR#USD'!G3/100</f>
        <v>1.2591457214265E-2</v>
      </c>
      <c r="E2" s="8">
        <v>1.170895999999999E-3</v>
      </c>
      <c r="F2" s="8">
        <v>1.5409499999999986E-3</v>
      </c>
      <c r="G2" s="8">
        <v>3.3429941000000005E-2</v>
      </c>
    </row>
    <row r="3" spans="1:17" x14ac:dyDescent="0.2">
      <c r="A3" s="2">
        <v>37164</v>
      </c>
      <c r="B3" s="8">
        <f>'Final Data'!I3</f>
        <v>5.2900722976549348E-4</v>
      </c>
      <c r="C3" s="8">
        <f>'3.8 Data EUR#USD'!F4/100</f>
        <v>1.4222069925895569E-2</v>
      </c>
      <c r="D3" s="8">
        <f>'3.8 Data EUR#USD'!G4/100</f>
        <v>1.1419699523748111E-2</v>
      </c>
      <c r="E3" s="8">
        <v>3.3414199999999995E-3</v>
      </c>
      <c r="F3" s="8">
        <v>1.477240000000002E-4</v>
      </c>
      <c r="G3" s="8">
        <v>2.7781604000000001E-2</v>
      </c>
      <c r="I3" s="7" t="s">
        <v>6</v>
      </c>
      <c r="J3" s="7"/>
    </row>
    <row r="4" spans="1:17" x14ac:dyDescent="0.2">
      <c r="A4" s="2">
        <v>37195</v>
      </c>
      <c r="B4" s="8">
        <f>'Final Data'!I4</f>
        <v>1.2160733168840284E-2</v>
      </c>
      <c r="C4" s="8">
        <f>'3.8 Data EUR#USD'!F5/100</f>
        <v>1.4222069925895569E-2</v>
      </c>
      <c r="D4" s="8">
        <f>'3.8 Data EUR#USD'!G5/100</f>
        <v>1.1419699523748111E-2</v>
      </c>
      <c r="E4" s="8">
        <v>2.8987229999999985E-3</v>
      </c>
      <c r="F4" s="8">
        <v>3.3092379999999986E-3</v>
      </c>
      <c r="G4" s="8">
        <v>2.9669332999999999E-2</v>
      </c>
      <c r="I4" t="s">
        <v>7</v>
      </c>
      <c r="J4" s="8">
        <v>0.20901080367661781</v>
      </c>
    </row>
    <row r="5" spans="1:17" x14ac:dyDescent="0.2">
      <c r="A5" s="2">
        <v>37225</v>
      </c>
      <c r="B5" s="8">
        <f>'Final Data'!I5</f>
        <v>1.1056938882117326E-2</v>
      </c>
      <c r="C5" s="8">
        <f>'3.8 Data EUR#USD'!F6/100</f>
        <v>1.4222069925895569E-2</v>
      </c>
      <c r="D5" s="8">
        <f>'3.8 Data EUR#USD'!G6/100</f>
        <v>1.1419699523748111E-2</v>
      </c>
      <c r="E5" s="8">
        <v>6.1654599999999777E-4</v>
      </c>
      <c r="F5" s="8">
        <v>2.4592769999999997E-3</v>
      </c>
      <c r="G5" s="8">
        <v>2.7484183499999995E-2</v>
      </c>
      <c r="I5" t="s">
        <v>8</v>
      </c>
      <c r="J5" s="8">
        <v>4.3685516053545669E-2</v>
      </c>
    </row>
    <row r="6" spans="1:17" x14ac:dyDescent="0.2">
      <c r="A6" s="2">
        <v>37256</v>
      </c>
      <c r="B6" s="8">
        <f>'Final Data'!I6</f>
        <v>5.3388443985189406E-3</v>
      </c>
      <c r="C6" s="8">
        <f>'3.8 Data EUR#USD'!F7/100</f>
        <v>1.3253247951841249E-2</v>
      </c>
      <c r="D6" s="8">
        <f>'3.8 Data EUR#USD'!G7/100</f>
        <v>1.0529205763641197E-2</v>
      </c>
      <c r="E6" s="8">
        <v>-1.3823960000000036E-3</v>
      </c>
      <c r="F6" s="8">
        <v>6.4071310000000017E-3</v>
      </c>
      <c r="G6" s="8">
        <v>3.7513240999999996E-2</v>
      </c>
      <c r="I6" t="s">
        <v>9</v>
      </c>
      <c r="J6" s="22">
        <v>2.543523964235379E-2</v>
      </c>
    </row>
    <row r="7" spans="1:17" x14ac:dyDescent="0.2">
      <c r="A7" s="2">
        <v>37287</v>
      </c>
      <c r="B7" s="8">
        <f>'Final Data'!I7</f>
        <v>2.989293361884364E-2</v>
      </c>
      <c r="C7" s="8">
        <f>'3.8 Data EUR#USD'!F8/100</f>
        <v>1.3253247951841249E-2</v>
      </c>
      <c r="D7" s="8">
        <f>'3.8 Data EUR#USD'!G8/100</f>
        <v>1.0529205763641197E-2</v>
      </c>
      <c r="E7" s="8">
        <v>-2.0282999999992057E-5</v>
      </c>
      <c r="F7" s="8">
        <v>5.9015230000000023E-3</v>
      </c>
      <c r="G7" s="8">
        <v>3.6850944849999998E-2</v>
      </c>
      <c r="I7" t="s">
        <v>10</v>
      </c>
      <c r="J7" s="8">
        <v>2.209884560981993E-2</v>
      </c>
    </row>
    <row r="8" spans="1:17" ht="17" thickBot="1" x14ac:dyDescent="0.25">
      <c r="A8" s="2">
        <v>37315</v>
      </c>
      <c r="B8" s="8">
        <f>'Final Data'!I8</f>
        <v>-8.9820359281436984E-3</v>
      </c>
      <c r="C8" s="8">
        <f>'3.8 Data EUR#USD'!F9/100</f>
        <v>1.3253247951841249E-2</v>
      </c>
      <c r="D8" s="8">
        <f>'3.8 Data EUR#USD'!G9/100</f>
        <v>1.0529205763641197E-2</v>
      </c>
      <c r="E8" s="8">
        <v>1.8532960000000021E-3</v>
      </c>
      <c r="F8" s="8">
        <v>4.3118429999999992E-3</v>
      </c>
      <c r="G8" s="8">
        <v>3.8125167187E-2</v>
      </c>
      <c r="I8" s="5" t="s">
        <v>11</v>
      </c>
      <c r="J8" s="5">
        <v>268</v>
      </c>
    </row>
    <row r="9" spans="1:17" x14ac:dyDescent="0.2">
      <c r="A9" s="2">
        <v>37346</v>
      </c>
      <c r="B9" s="8">
        <f>'Final Data'!I9</f>
        <v>-4.5317220543805983E-3</v>
      </c>
      <c r="C9" s="8">
        <f>'3.8 Data EUR#USD'!F10/100</f>
        <v>1.1388061113511776E-2</v>
      </c>
      <c r="D9" s="8">
        <f>'3.8 Data EUR#USD'!G10/100</f>
        <v>1.3270984666617316E-2</v>
      </c>
      <c r="E9" s="8">
        <v>5.2765599999999853E-4</v>
      </c>
      <c r="F9" s="8">
        <v>3.476097E-3</v>
      </c>
      <c r="G9" s="8">
        <v>3.8496044779999995E-2</v>
      </c>
    </row>
    <row r="10" spans="1:17" ht="17" thickBot="1" x14ac:dyDescent="0.25">
      <c r="A10" s="2">
        <v>37376</v>
      </c>
      <c r="B10" s="8">
        <f>'Final Data'!I10</f>
        <v>-2.8915865789917439E-2</v>
      </c>
      <c r="C10" s="8">
        <f>'3.8 Data EUR#USD'!F11/100</f>
        <v>1.1388061113511776E-2</v>
      </c>
      <c r="D10" s="8">
        <f>'3.8 Data EUR#USD'!G11/100</f>
        <v>1.3270984666617316E-2</v>
      </c>
      <c r="E10" s="8">
        <v>1.2337489999999995E-3</v>
      </c>
      <c r="F10" s="8">
        <v>1.573789999999997E-4</v>
      </c>
      <c r="G10" s="8">
        <v>3.1347747000000002E-2</v>
      </c>
      <c r="I10" t="s">
        <v>12</v>
      </c>
    </row>
    <row r="11" spans="1:17" x14ac:dyDescent="0.2">
      <c r="A11" s="2">
        <v>37407</v>
      </c>
      <c r="B11" s="8">
        <f>'Final Data'!I11</f>
        <v>-2.9342824897994578E-2</v>
      </c>
      <c r="C11" s="8">
        <f>'3.8 Data EUR#USD'!F12/100</f>
        <v>1.1388061113511776E-2</v>
      </c>
      <c r="D11" s="8">
        <f>'3.8 Data EUR#USD'!G12/100</f>
        <v>1.3270984666617316E-2</v>
      </c>
      <c r="E11" s="8">
        <v>1.8746229999999997E-3</v>
      </c>
      <c r="F11" s="8">
        <v>1.694909999999994E-4</v>
      </c>
      <c r="G11" s="8">
        <v>4.28344274E-2</v>
      </c>
      <c r="I11" s="6"/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</row>
    <row r="12" spans="1:17" x14ac:dyDescent="0.2">
      <c r="A12" s="2">
        <v>37437</v>
      </c>
      <c r="B12" s="8">
        <f>'Final Data'!I12</f>
        <v>-5.0979339951703805E-2</v>
      </c>
      <c r="C12" s="8">
        <f>'3.8 Data EUR#USD'!F13/100</f>
        <v>1.2344111558495706E-2</v>
      </c>
      <c r="D12" s="8">
        <f>'3.8 Data EUR#USD'!G13/100</f>
        <v>1.324840982459214E-2</v>
      </c>
      <c r="E12" s="8">
        <v>2.8233849999999981E-3</v>
      </c>
      <c r="F12" s="8">
        <v>4.4023699999999887E-4</v>
      </c>
      <c r="G12" s="8">
        <v>4.30781264E-2</v>
      </c>
      <c r="I12" t="s">
        <v>13</v>
      </c>
      <c r="J12">
        <v>5</v>
      </c>
      <c r="K12" s="8">
        <v>5.8449015953167538E-3</v>
      </c>
      <c r="L12" s="8">
        <v>1.1689803190633508E-3</v>
      </c>
      <c r="M12" s="8">
        <v>2.3936906526388708</v>
      </c>
      <c r="N12" s="22">
        <v>3.8082755904107937E-2</v>
      </c>
    </row>
    <row r="13" spans="1:17" x14ac:dyDescent="0.2">
      <c r="A13" s="2">
        <v>37468</v>
      </c>
      <c r="B13" s="8">
        <f>'Final Data'!I13</f>
        <v>1.2251437187823929E-2</v>
      </c>
      <c r="C13" s="8">
        <f>'3.8 Data EUR#USD'!F14/100</f>
        <v>1.2344111558495706E-2</v>
      </c>
      <c r="D13" s="8">
        <f>'3.8 Data EUR#USD'!G14/100</f>
        <v>1.324840982459214E-2</v>
      </c>
      <c r="E13" s="8">
        <v>3.9712380000000011E-3</v>
      </c>
      <c r="F13" s="8">
        <v>-2.8272699999999993E-3</v>
      </c>
      <c r="G13" s="8">
        <v>4.8503061399999998E-2</v>
      </c>
      <c r="I13" t="s">
        <v>14</v>
      </c>
      <c r="J13">
        <v>262</v>
      </c>
      <c r="K13" s="8">
        <v>0.12795005204910428</v>
      </c>
      <c r="L13" s="8">
        <v>4.8835897728665757E-4</v>
      </c>
      <c r="M13" s="8"/>
      <c r="N13" s="8"/>
    </row>
    <row r="14" spans="1:17" ht="17" thickBot="1" x14ac:dyDescent="0.25">
      <c r="A14" s="2">
        <v>37499</v>
      </c>
      <c r="B14" s="8">
        <f>'Final Data'!I14</f>
        <v>-4.0033516432361289E-3</v>
      </c>
      <c r="C14" s="8">
        <f>'3.8 Data EUR#USD'!F15/100</f>
        <v>1.2344111558495706E-2</v>
      </c>
      <c r="D14" s="8">
        <f>'3.8 Data EUR#USD'!G15/100</f>
        <v>1.324840982459214E-2</v>
      </c>
      <c r="E14" s="8">
        <v>5.2028430000000013E-3</v>
      </c>
      <c r="F14" s="8">
        <v>-5.1908740000000007E-3</v>
      </c>
      <c r="G14" s="8">
        <v>4.8660142300000001E-2</v>
      </c>
      <c r="I14" s="5" t="s">
        <v>15</v>
      </c>
      <c r="J14" s="5">
        <v>267</v>
      </c>
      <c r="K14" s="10">
        <v>0.13379495364442104</v>
      </c>
      <c r="L14" s="10"/>
      <c r="M14" s="10"/>
      <c r="N14" s="10"/>
    </row>
    <row r="15" spans="1:17" ht="17" thickBot="1" x14ac:dyDescent="0.25">
      <c r="A15" s="2">
        <v>37529</v>
      </c>
      <c r="B15" s="8">
        <f>'Final Data'!I15</f>
        <v>-1.0282295756216062E-3</v>
      </c>
      <c r="C15" s="8">
        <f>'3.8 Data EUR#USD'!F16/100</f>
        <v>1.2879614056179772E-2</v>
      </c>
      <c r="D15" s="8">
        <f>'3.8 Data EUR#USD'!G16/100</f>
        <v>1.4653559921838923E-2</v>
      </c>
      <c r="E15" s="8">
        <v>6.9518160000000022E-3</v>
      </c>
      <c r="F15" s="8">
        <v>-2.8948930000000008E-3</v>
      </c>
      <c r="G15" s="8">
        <v>4.8694734999999996E-2</v>
      </c>
    </row>
    <row r="16" spans="1:17" x14ac:dyDescent="0.2">
      <c r="A16" s="2">
        <v>37560</v>
      </c>
      <c r="B16" s="8">
        <f>'Final Data'!I16</f>
        <v>-2.1521474688874706E-3</v>
      </c>
      <c r="C16" s="8">
        <f>'3.8 Data EUR#USD'!F17/100</f>
        <v>1.2879614056179772E-2</v>
      </c>
      <c r="D16" s="8">
        <f>'3.8 Data EUR#USD'!G17/100</f>
        <v>1.4653559921838923E-2</v>
      </c>
      <c r="E16" s="8">
        <v>7.1200670000000034E-3</v>
      </c>
      <c r="F16" s="8">
        <v>-5.9580350000000013E-3</v>
      </c>
      <c r="G16" s="8">
        <v>4.6798648400000004E-2</v>
      </c>
      <c r="I16" s="6"/>
      <c r="J16" s="6" t="s">
        <v>22</v>
      </c>
      <c r="K16" s="6" t="s">
        <v>10</v>
      </c>
      <c r="L16" s="6" t="s">
        <v>23</v>
      </c>
      <c r="M16" s="6" t="s">
        <v>24</v>
      </c>
      <c r="N16" s="6" t="s">
        <v>25</v>
      </c>
      <c r="O16" s="6" t="s">
        <v>26</v>
      </c>
      <c r="P16" s="6" t="s">
        <v>27</v>
      </c>
      <c r="Q16" s="6" t="s">
        <v>28</v>
      </c>
    </row>
    <row r="17" spans="1:17" x14ac:dyDescent="0.2">
      <c r="A17" s="2">
        <v>37590</v>
      </c>
      <c r="B17" s="8">
        <f>'Final Data'!I17</f>
        <v>-2.1567891972993623E-3</v>
      </c>
      <c r="C17" s="8">
        <f>'3.8 Data EUR#USD'!F18/100</f>
        <v>1.2879614056179772E-2</v>
      </c>
      <c r="D17" s="8">
        <f>'3.8 Data EUR#USD'!G18/100</f>
        <v>1.4653559921838923E-2</v>
      </c>
      <c r="E17" s="8">
        <v>5.8487299999999999E-3</v>
      </c>
      <c r="F17" s="8">
        <v>-7.7001320000000019E-3</v>
      </c>
      <c r="G17" s="8">
        <v>5.5325947000000007E-2</v>
      </c>
      <c r="I17" t="s">
        <v>16</v>
      </c>
      <c r="J17" s="8">
        <v>3.8041658054017852E-3</v>
      </c>
      <c r="K17" s="8">
        <v>6.4537823816589882E-3</v>
      </c>
      <c r="L17" s="8">
        <v>0.58944748682770098</v>
      </c>
      <c r="M17" s="8">
        <v>0.55606906420642144</v>
      </c>
      <c r="N17" s="8">
        <v>-8.9037170933553289E-3</v>
      </c>
      <c r="O17" s="8">
        <v>1.6512048704158899E-2</v>
      </c>
      <c r="P17" s="8">
        <v>-8.9037170933553289E-3</v>
      </c>
      <c r="Q17" s="8">
        <v>1.6512048704158899E-2</v>
      </c>
    </row>
    <row r="18" spans="1:17" x14ac:dyDescent="0.2">
      <c r="A18" s="2">
        <v>37621</v>
      </c>
      <c r="B18" s="8">
        <f>'Final Data'!I18</f>
        <v>-4.2853115308711609E-2</v>
      </c>
      <c r="C18" s="8">
        <f>'3.8 Data EUR#USD'!F19/100</f>
        <v>1.3324288442021907E-2</v>
      </c>
      <c r="D18" s="8">
        <f>'3.8 Data EUR#USD'!G19/100</f>
        <v>1.4410507056385571E-2</v>
      </c>
      <c r="E18" s="8">
        <v>4.2030629999999999E-3</v>
      </c>
      <c r="F18" s="8">
        <v>-1.0002493000000001E-2</v>
      </c>
      <c r="G18" s="8">
        <v>3.9926012000000004E-2</v>
      </c>
      <c r="I18" t="str">
        <f>C1</f>
        <v>GDP Growth - EUR</v>
      </c>
      <c r="J18" s="22">
        <v>-0.24188710115444206</v>
      </c>
      <c r="K18" s="8">
        <v>0.26932337861660982</v>
      </c>
      <c r="L18" s="8">
        <v>-0.89812886796870262</v>
      </c>
      <c r="M18" s="22">
        <v>0.36994145525517419</v>
      </c>
      <c r="N18" s="8">
        <v>-0.77220091636519284</v>
      </c>
      <c r="O18" s="8">
        <v>0.28842671405630865</v>
      </c>
      <c r="P18" s="8">
        <v>-0.77220091636519284</v>
      </c>
      <c r="Q18" s="8">
        <v>0.28842671405630865</v>
      </c>
    </row>
    <row r="19" spans="1:17" x14ac:dyDescent="0.2">
      <c r="A19" s="2">
        <v>37652</v>
      </c>
      <c r="B19" s="8">
        <f>'Final Data'!I19</f>
        <v>-1.9047619047619025E-2</v>
      </c>
      <c r="C19" s="8">
        <f>'3.8 Data EUR#USD'!F20/100</f>
        <v>1.3324288442021907E-2</v>
      </c>
      <c r="D19" s="8">
        <f>'3.8 Data EUR#USD'!G20/100</f>
        <v>1.4410507056385571E-2</v>
      </c>
      <c r="E19" s="8">
        <v>2.3441370000000018E-3</v>
      </c>
      <c r="F19" s="8">
        <v>-4.8713180000000021E-3</v>
      </c>
      <c r="G19" s="8">
        <v>3.3149491000000003E-2</v>
      </c>
      <c r="I19" t="str">
        <f>D1</f>
        <v>GDP Growth - USD</v>
      </c>
      <c r="J19" s="22">
        <v>0.58096857393414425</v>
      </c>
      <c r="K19" s="8">
        <v>0.33950301271137739</v>
      </c>
      <c r="L19" s="8">
        <v>1.7112324550358102</v>
      </c>
      <c r="M19" s="22">
        <v>8.8221724652636946E-2</v>
      </c>
      <c r="N19" s="8">
        <v>-8.7533131604057582E-2</v>
      </c>
      <c r="O19" s="8">
        <v>1.249470279472346</v>
      </c>
      <c r="P19" s="8">
        <v>-8.7533131604057582E-2</v>
      </c>
      <c r="Q19" s="8">
        <v>1.249470279472346</v>
      </c>
    </row>
    <row r="20" spans="1:17" x14ac:dyDescent="0.2">
      <c r="A20" s="2">
        <v>37680</v>
      </c>
      <c r="B20" s="8">
        <f>'Final Data'!I20</f>
        <v>-2.001801621459342E-3</v>
      </c>
      <c r="C20" s="8">
        <f>'3.8 Data EUR#USD'!F21/100</f>
        <v>1.3324288442021907E-2</v>
      </c>
      <c r="D20" s="8">
        <f>'3.8 Data EUR#USD'!G21/100</f>
        <v>1.4410507056385571E-2</v>
      </c>
      <c r="E20" s="8">
        <v>1.7365069999999961E-3</v>
      </c>
      <c r="F20" s="8">
        <v>-7.8568620000000026E-3</v>
      </c>
      <c r="G20" s="8">
        <v>4.3145747000000005E-2</v>
      </c>
      <c r="I20" t="str">
        <f>E1</f>
        <v>Interest Rate Differential</v>
      </c>
      <c r="J20" s="22">
        <v>-0.10167041741408193</v>
      </c>
      <c r="K20" s="8">
        <v>0.16171992885799977</v>
      </c>
      <c r="L20" s="8">
        <v>-0.62868205626874185</v>
      </c>
      <c r="M20" s="22">
        <v>0.53010492622132888</v>
      </c>
      <c r="N20" s="8">
        <v>-0.42010661448252268</v>
      </c>
      <c r="O20" s="8">
        <v>0.21676577965435881</v>
      </c>
      <c r="P20" s="8">
        <v>-0.42010661448252268</v>
      </c>
      <c r="Q20" s="8">
        <v>0.21676577965435881</v>
      </c>
    </row>
    <row r="21" spans="1:17" x14ac:dyDescent="0.2">
      <c r="A21" s="2">
        <v>37711</v>
      </c>
      <c r="B21" s="8">
        <f>'Final Data'!I21</f>
        <v>-6.518904823989485E-3</v>
      </c>
      <c r="C21" s="8">
        <f>'3.8 Data EUR#USD'!F22/100</f>
        <v>1.2340914712150564E-2</v>
      </c>
      <c r="D21" s="8">
        <f>'3.8 Data EUR#USD'!G22/100</f>
        <v>1.3888995309643831E-2</v>
      </c>
      <c r="E21" s="8">
        <v>3.2026529999999998E-3</v>
      </c>
      <c r="F21" s="8">
        <v>-6.6228389999999984E-3</v>
      </c>
      <c r="G21" s="8">
        <v>3.86184496E-2</v>
      </c>
      <c r="I21" t="str">
        <f>F1</f>
        <v>Inflation Rate Differential</v>
      </c>
      <c r="J21" s="22">
        <v>-0.36941202007358981</v>
      </c>
      <c r="K21" s="8">
        <v>0.15966252721285076</v>
      </c>
      <c r="L21" s="8">
        <v>-2.3137052038586106</v>
      </c>
      <c r="M21" s="22">
        <v>2.1458198851397599E-2</v>
      </c>
      <c r="N21" s="8">
        <v>-0.68379707044446514</v>
      </c>
      <c r="O21" s="8">
        <v>-5.5026969702714514E-2</v>
      </c>
      <c r="P21" s="8">
        <v>-0.68379707044446514</v>
      </c>
      <c r="Q21" s="8">
        <v>-5.5026969702714514E-2</v>
      </c>
    </row>
    <row r="22" spans="1:17" ht="17" thickBot="1" x14ac:dyDescent="0.25">
      <c r="A22" s="2">
        <v>37741</v>
      </c>
      <c r="B22" s="8">
        <f>'Final Data'!I22</f>
        <v>-1.8877448011306325E-2</v>
      </c>
      <c r="C22" s="8">
        <f>'3.8 Data EUR#USD'!F23/100</f>
        <v>1.2340914712150564E-2</v>
      </c>
      <c r="D22" s="8">
        <f>'3.8 Data EUR#USD'!G23/100</f>
        <v>1.3888995309643831E-2</v>
      </c>
      <c r="E22" s="8">
        <v>3.0686209999999958E-3</v>
      </c>
      <c r="F22" s="8">
        <v>-1.8104049999999993E-3</v>
      </c>
      <c r="G22" s="8">
        <v>4.5467451380000003E-2</v>
      </c>
      <c r="I22" s="5" t="str">
        <f>G1</f>
        <v>Account Balance Differential</v>
      </c>
      <c r="J22" s="23">
        <v>-0.20760573239601185</v>
      </c>
      <c r="K22" s="10">
        <v>0.12041710141916613</v>
      </c>
      <c r="L22" s="10">
        <v>-1.7240552209718643</v>
      </c>
      <c r="M22" s="23">
        <v>8.5877429891507207E-2</v>
      </c>
      <c r="N22" s="10">
        <v>-0.44471419582845284</v>
      </c>
      <c r="O22" s="10">
        <v>2.9502731036429163E-2</v>
      </c>
      <c r="P22" s="10">
        <v>-0.44471419582845284</v>
      </c>
      <c r="Q22" s="10">
        <v>2.9502731036429163E-2</v>
      </c>
    </row>
    <row r="23" spans="1:17" x14ac:dyDescent="0.2">
      <c r="A23" s="2">
        <v>37772</v>
      </c>
      <c r="B23" s="8">
        <f>'Final Data'!I23</f>
        <v>-4.0333367630414667E-2</v>
      </c>
      <c r="C23" s="8">
        <f>'3.8 Data EUR#USD'!F24/100</f>
        <v>1.2340914712150564E-2</v>
      </c>
      <c r="D23" s="8">
        <f>'3.8 Data EUR#USD'!G24/100</f>
        <v>1.3888995309643831E-2</v>
      </c>
      <c r="E23" s="8">
        <v>3.9994230000000019E-3</v>
      </c>
      <c r="F23" s="8">
        <v>-6.7294899999999821E-4</v>
      </c>
      <c r="G23" s="8">
        <v>4.7372610799999999E-2</v>
      </c>
    </row>
    <row r="24" spans="1:17" x14ac:dyDescent="0.2">
      <c r="A24" s="2">
        <v>37802</v>
      </c>
      <c r="B24" s="8">
        <f>'Final Data'!I24</f>
        <v>1.5653479146563825E-2</v>
      </c>
      <c r="C24" s="8">
        <f>'3.8 Data EUR#USD'!F25/100</f>
        <v>1.1405294862611723E-2</v>
      </c>
      <c r="D24" s="8">
        <f>'3.8 Data EUR#USD'!G25/100</f>
        <v>1.4350122901171946E-2</v>
      </c>
      <c r="E24" s="8">
        <v>4.3818700000000013E-3</v>
      </c>
      <c r="F24" s="8">
        <v>3.6487000000000601E-5</v>
      </c>
      <c r="G24" s="8">
        <v>4.3438465700000005E-2</v>
      </c>
    </row>
    <row r="25" spans="1:17" x14ac:dyDescent="0.2">
      <c r="A25" s="2">
        <v>37833</v>
      </c>
      <c r="B25" s="8">
        <f>'Final Data'!I25</f>
        <v>2.2801646785601145E-2</v>
      </c>
      <c r="C25" s="8">
        <f>'3.8 Data EUR#USD'!F26/100</f>
        <v>1.1405294862611723E-2</v>
      </c>
      <c r="D25" s="8">
        <f>'3.8 Data EUR#USD'!G26/100</f>
        <v>1.4350122901171946E-2</v>
      </c>
      <c r="E25" s="8">
        <v>1.0329700000000041E-3</v>
      </c>
      <c r="F25" s="8">
        <v>-2.5291010000000023E-3</v>
      </c>
      <c r="G25" s="8">
        <v>5.1087358999999999E-2</v>
      </c>
    </row>
    <row r="26" spans="1:17" x14ac:dyDescent="0.2">
      <c r="A26" s="2">
        <v>37864</v>
      </c>
      <c r="B26" s="8">
        <f>'Final Data'!I26</f>
        <v>1.2488388894622704E-2</v>
      </c>
      <c r="C26" s="8">
        <f>'3.8 Data EUR#USD'!F27/100</f>
        <v>1.1405294862611723E-2</v>
      </c>
      <c r="D26" s="8">
        <f>'3.8 Data EUR#USD'!G27/100</f>
        <v>1.4350122901171946E-2</v>
      </c>
      <c r="E26" s="8">
        <v>-2.1661459999999977E-3</v>
      </c>
      <c r="F26" s="8">
        <v>-2.9356810000000012E-3</v>
      </c>
      <c r="G26" s="8">
        <v>5.5798818E-2</v>
      </c>
    </row>
    <row r="27" spans="1:17" x14ac:dyDescent="0.2">
      <c r="A27" s="2">
        <v>37894</v>
      </c>
      <c r="B27" s="8">
        <f>'Final Data'!I27</f>
        <v>-5.3516819571865444E-2</v>
      </c>
      <c r="C27" s="8">
        <f>'3.8 Data EUR#USD'!F28/100</f>
        <v>1.1828885566860904E-2</v>
      </c>
      <c r="D27" s="8">
        <f>'3.8 Data EUR#USD'!G28/100</f>
        <v>1.6174069933868995E-2</v>
      </c>
      <c r="E27" s="8">
        <v>-4.0016999999998861E-5</v>
      </c>
      <c r="F27" s="8">
        <v>-3.8269430000000006E-3</v>
      </c>
      <c r="G27" s="8">
        <v>5.3506489999999997E-2</v>
      </c>
    </row>
    <row r="28" spans="1:17" x14ac:dyDescent="0.2">
      <c r="A28" s="2">
        <v>37925</v>
      </c>
      <c r="B28" s="8">
        <f>'Final Data'!I28</f>
        <v>-1.2924071082389913E-3</v>
      </c>
      <c r="C28" s="8">
        <f>'3.8 Data EUR#USD'!F29/100</f>
        <v>1.1828885566860904E-2</v>
      </c>
      <c r="D28" s="8">
        <f>'3.8 Data EUR#USD'!G29/100</f>
        <v>1.6174069933868995E-2</v>
      </c>
      <c r="E28" s="8">
        <v>3.0281699999999744E-4</v>
      </c>
      <c r="F28" s="8">
        <v>-6.8878299999999945E-4</v>
      </c>
      <c r="G28" s="8">
        <v>5.7101511000000001E-2</v>
      </c>
    </row>
    <row r="29" spans="1:17" x14ac:dyDescent="0.2">
      <c r="A29" s="2">
        <v>37955</v>
      </c>
      <c r="B29" s="8">
        <f>'Final Data'!I29</f>
        <v>-2.7175671303785291E-2</v>
      </c>
      <c r="C29" s="8">
        <f>'3.8 Data EUR#USD'!F30/100</f>
        <v>1.1828885566860904E-2</v>
      </c>
      <c r="D29" s="8">
        <f>'3.8 Data EUR#USD'!G30/100</f>
        <v>1.6174069933868995E-2</v>
      </c>
      <c r="E29" s="8">
        <v>1.3252600000000037E-3</v>
      </c>
      <c r="F29" s="8">
        <v>1.0462010000000022E-3</v>
      </c>
      <c r="G29" s="8">
        <v>5.4971367000000007E-2</v>
      </c>
    </row>
    <row r="30" spans="1:17" x14ac:dyDescent="0.2">
      <c r="A30" s="2">
        <v>37986</v>
      </c>
      <c r="B30" s="8">
        <f>'Final Data'!I30</f>
        <v>-3.6470457820640644E-2</v>
      </c>
      <c r="C30" s="8">
        <f>'3.8 Data EUR#USD'!F31/100</f>
        <v>1.2788175725944919E-2</v>
      </c>
      <c r="D30" s="8">
        <f>'3.8 Data EUR#USD'!G31/100</f>
        <v>1.7435616809942732E-2</v>
      </c>
      <c r="E30" s="8">
        <v>1.2047059999999998E-3</v>
      </c>
      <c r="F30" s="8">
        <v>-1.6833920000000014E-3</v>
      </c>
      <c r="G30" s="8">
        <v>5.4665278999999997E-2</v>
      </c>
    </row>
    <row r="31" spans="1:17" x14ac:dyDescent="0.2">
      <c r="A31" s="2">
        <v>38017</v>
      </c>
      <c r="B31" s="8">
        <f>'Final Data'!I31</f>
        <v>3.2213529682466767E-3</v>
      </c>
      <c r="C31" s="8">
        <f>'3.8 Data EUR#USD'!F32/100</f>
        <v>1.2788175725944919E-2</v>
      </c>
      <c r="D31" s="8">
        <f>'3.8 Data EUR#USD'!G32/100</f>
        <v>1.7435616809942732E-2</v>
      </c>
      <c r="E31" s="8">
        <v>9.8302699999999635E-4</v>
      </c>
      <c r="F31" s="8">
        <v>-2.8516260000000003E-3</v>
      </c>
      <c r="G31" s="8">
        <v>5.5044330399999994E-2</v>
      </c>
    </row>
    <row r="32" spans="1:17" x14ac:dyDescent="0.2">
      <c r="A32" s="2">
        <v>38046</v>
      </c>
      <c r="B32" s="8">
        <f>'Final Data'!I32</f>
        <v>1.2614678899082502E-3</v>
      </c>
      <c r="C32" s="8">
        <f>'3.8 Data EUR#USD'!F33/100</f>
        <v>1.2788175725944919E-2</v>
      </c>
      <c r="D32" s="8">
        <f>'3.8 Data EUR#USD'!G33/100</f>
        <v>1.7435616809942732E-2</v>
      </c>
      <c r="E32" s="8">
        <v>1.2882559999999987E-3</v>
      </c>
      <c r="F32" s="8">
        <v>-3.4324899999999881E-4</v>
      </c>
      <c r="G32" s="8">
        <v>5.9994046000000002E-2</v>
      </c>
    </row>
    <row r="33" spans="1:7" x14ac:dyDescent="0.2">
      <c r="A33" s="2">
        <v>38077</v>
      </c>
      <c r="B33" s="8">
        <f>'Final Data'!I33</f>
        <v>3.4360325277745635E-3</v>
      </c>
      <c r="C33" s="8">
        <f>'3.8 Data EUR#USD'!F34/100</f>
        <v>1.4239897548762126E-2</v>
      </c>
      <c r="D33" s="8">
        <f>'3.8 Data EUR#USD'!G34/100</f>
        <v>1.7481014512418517E-2</v>
      </c>
      <c r="E33" s="8">
        <v>2.1184429999999963E-3</v>
      </c>
      <c r="F33" s="8">
        <v>-1.2573459999999992E-3</v>
      </c>
      <c r="G33" s="8">
        <v>6.3603602999999995E-2</v>
      </c>
    </row>
    <row r="34" spans="1:7" x14ac:dyDescent="0.2">
      <c r="A34" s="2">
        <v>38107</v>
      </c>
      <c r="B34" s="8">
        <f>'Final Data'!I34</f>
        <v>3.2758817486588342E-2</v>
      </c>
      <c r="C34" s="8">
        <f>'3.8 Data EUR#USD'!F35/100</f>
        <v>1.4239897548762126E-2</v>
      </c>
      <c r="D34" s="8">
        <f>'3.8 Data EUR#USD'!G35/100</f>
        <v>1.7481014512418517E-2</v>
      </c>
      <c r="E34" s="8">
        <v>-1.2197350000000017E-3</v>
      </c>
      <c r="F34" s="8">
        <v>-3.5847660000000014E-3</v>
      </c>
      <c r="G34" s="8">
        <v>6.5652598000000006E-2</v>
      </c>
    </row>
    <row r="35" spans="1:7" x14ac:dyDescent="0.2">
      <c r="A35" s="2">
        <v>38138</v>
      </c>
      <c r="B35" s="8">
        <f>'Final Data'!I35</f>
        <v>-1.6909814323607438E-2</v>
      </c>
      <c r="C35" s="8">
        <f>'3.8 Data EUR#USD'!F36/100</f>
        <v>1.4239897548762126E-2</v>
      </c>
      <c r="D35" s="8">
        <f>'3.8 Data EUR#USD'!G36/100</f>
        <v>1.7481014512418517E-2</v>
      </c>
      <c r="E35" s="8">
        <v>-3.4148800000000003E-3</v>
      </c>
      <c r="F35" s="8">
        <v>-5.5398250000000008E-3</v>
      </c>
      <c r="G35" s="8">
        <v>7.1725206E-2</v>
      </c>
    </row>
    <row r="36" spans="1:7" x14ac:dyDescent="0.2">
      <c r="A36" s="2">
        <v>38168</v>
      </c>
      <c r="B36" s="8">
        <f>'Final Data'!I36</f>
        <v>-1.6863406408095074E-3</v>
      </c>
      <c r="C36" s="8">
        <f>'3.8 Data EUR#USD'!F37/100</f>
        <v>1.5098712227356257E-2</v>
      </c>
      <c r="D36" s="8">
        <f>'3.8 Data EUR#USD'!G37/100</f>
        <v>1.7355251976343609E-2</v>
      </c>
      <c r="E36" s="8">
        <v>-3.0936100000000001E-3</v>
      </c>
      <c r="F36" s="8">
        <v>-8.9856789999999982E-3</v>
      </c>
      <c r="G36" s="8">
        <v>6.4573379E-2</v>
      </c>
    </row>
    <row r="37" spans="1:7" x14ac:dyDescent="0.2">
      <c r="A37" s="2">
        <v>38199</v>
      </c>
      <c r="B37" s="8">
        <f>'Final Data'!I37</f>
        <v>1.3063063063063025E-2</v>
      </c>
      <c r="C37" s="8">
        <f>'3.8 Data EUR#USD'!F38/100</f>
        <v>1.5098712227356257E-2</v>
      </c>
      <c r="D37" s="8">
        <f>'3.8 Data EUR#USD'!G38/100</f>
        <v>1.7355251976343609E-2</v>
      </c>
      <c r="E37" s="8">
        <v>-1.7579950000000011E-3</v>
      </c>
      <c r="F37" s="8">
        <v>-6.6661800000000016E-3</v>
      </c>
      <c r="G37" s="8">
        <v>6.8181987999999999E-2</v>
      </c>
    </row>
    <row r="38" spans="1:7" x14ac:dyDescent="0.2">
      <c r="A38" s="2">
        <v>38230</v>
      </c>
      <c r="B38" s="8">
        <f>'Final Data'!I38</f>
        <v>-1.1338372610048867E-2</v>
      </c>
      <c r="C38" s="8">
        <f>'3.8 Data EUR#USD'!F39/100</f>
        <v>1.5098712227356257E-2</v>
      </c>
      <c r="D38" s="8">
        <f>'3.8 Data EUR#USD'!G39/100</f>
        <v>1.7355251976343609E-2</v>
      </c>
      <c r="E38" s="8">
        <v>-1.1088800000000009E-3</v>
      </c>
      <c r="F38" s="8">
        <v>-2.5068080000000006E-3</v>
      </c>
      <c r="G38" s="8">
        <v>7.0009399E-2</v>
      </c>
    </row>
    <row r="39" spans="1:7" x14ac:dyDescent="0.2">
      <c r="A39" s="2">
        <v>38260</v>
      </c>
      <c r="B39" s="8">
        <f>'Final Data'!I39</f>
        <v>-1.7764785248482105E-2</v>
      </c>
      <c r="C39" s="8">
        <f>'3.8 Data EUR#USD'!F40/100</f>
        <v>1.4455341950396737E-2</v>
      </c>
      <c r="D39" s="8">
        <f>'3.8 Data EUR#USD'!G40/100</f>
        <v>1.6503340615313181E-2</v>
      </c>
      <c r="E39" s="8">
        <v>-7.3077000000001388E-5</v>
      </c>
      <c r="F39" s="8">
        <v>-3.9843919999999989E-3</v>
      </c>
      <c r="G39" s="8">
        <v>6.2709112000000011E-2</v>
      </c>
    </row>
    <row r="40" spans="1:7" x14ac:dyDescent="0.2">
      <c r="A40" s="2">
        <v>38291</v>
      </c>
      <c r="B40" s="8">
        <f>'Final Data'!I40</f>
        <v>-2.8044871794871827E-2</v>
      </c>
      <c r="C40" s="8">
        <f>'3.8 Data EUR#USD'!F41/100</f>
        <v>1.4455341950396737E-2</v>
      </c>
      <c r="D40" s="8">
        <f>'3.8 Data EUR#USD'!G41/100</f>
        <v>1.6503340615313181E-2</v>
      </c>
      <c r="E40" s="8">
        <v>-9.7677500000000524E-4</v>
      </c>
      <c r="F40" s="8">
        <v>-9.7591400000000047E-3</v>
      </c>
      <c r="G40" s="8">
        <v>7.6361913000000003E-2</v>
      </c>
    </row>
    <row r="41" spans="1:7" x14ac:dyDescent="0.2">
      <c r="A41" s="2">
        <v>38321</v>
      </c>
      <c r="B41" s="8">
        <f>'Final Data'!I41</f>
        <v>-3.6391473324696777E-2</v>
      </c>
      <c r="C41" s="8">
        <f>'3.8 Data EUR#USD'!F42/100</f>
        <v>1.4455341950396737E-2</v>
      </c>
      <c r="D41" s="8">
        <f>'3.8 Data EUR#USD'!G42/100</f>
        <v>1.6503340615313181E-2</v>
      </c>
      <c r="E41" s="8">
        <v>-3.0809900000000035E-3</v>
      </c>
      <c r="F41" s="8">
        <v>-1.4455358E-2</v>
      </c>
      <c r="G41" s="8">
        <v>7.2390129999999997E-2</v>
      </c>
    </row>
    <row r="42" spans="1:7" x14ac:dyDescent="0.2">
      <c r="A42" s="2">
        <v>38352</v>
      </c>
      <c r="B42" s="8">
        <f>'Final Data'!I42</f>
        <v>-1.1855292104619884E-2</v>
      </c>
      <c r="C42" s="8">
        <f>'3.8 Data EUR#USD'!F43/100</f>
        <v>1.4162785415794805E-2</v>
      </c>
      <c r="D42" s="8">
        <f>'3.8 Data EUR#USD'!G43/100</f>
        <v>1.6325511882932093E-2</v>
      </c>
      <c r="E42" s="8">
        <v>-5.4992580000000043E-3</v>
      </c>
      <c r="F42" s="8">
        <v>-1.1060510000000003E-2</v>
      </c>
      <c r="G42" s="8">
        <v>7.2879402999999995E-2</v>
      </c>
    </row>
    <row r="43" spans="1:7" x14ac:dyDescent="0.2">
      <c r="A43" s="2">
        <v>38383</v>
      </c>
      <c r="B43" s="8">
        <f>'Final Data'!I43</f>
        <v>3.4013605442176874E-2</v>
      </c>
      <c r="C43" s="8">
        <f>'3.8 Data EUR#USD'!F44/100</f>
        <v>1.4162785415794805E-2</v>
      </c>
      <c r="D43" s="8">
        <f>'3.8 Data EUR#USD'!G44/100</f>
        <v>1.6325511882932093E-2</v>
      </c>
      <c r="E43" s="8">
        <v>-6.1085179999999985E-3</v>
      </c>
      <c r="F43" s="8">
        <v>-9.9167250000000012E-3</v>
      </c>
      <c r="G43" s="8">
        <v>6.1163127300000009E-2</v>
      </c>
    </row>
    <row r="44" spans="1:7" x14ac:dyDescent="0.2">
      <c r="A44" s="2">
        <v>38411</v>
      </c>
      <c r="B44" s="8">
        <f>'Final Data'!I44</f>
        <v>-1.3038277511961594E-2</v>
      </c>
      <c r="C44" s="8">
        <f>'3.8 Data EUR#USD'!F45/100</f>
        <v>1.4162785415794805E-2</v>
      </c>
      <c r="D44" s="8">
        <f>'3.8 Data EUR#USD'!G45/100</f>
        <v>1.6325511882932093E-2</v>
      </c>
      <c r="E44" s="8">
        <v>-5.7033230000000049E-3</v>
      </c>
      <c r="F44" s="8">
        <v>-1.1131067999999999E-2</v>
      </c>
      <c r="G44" s="8">
        <v>6.7394935000000003E-2</v>
      </c>
    </row>
    <row r="45" spans="1:7" x14ac:dyDescent="0.2">
      <c r="A45" s="2">
        <v>38442</v>
      </c>
      <c r="B45" s="8">
        <f>'Final Data'!I45</f>
        <v>1.8785601745242964E-2</v>
      </c>
      <c r="C45" s="8">
        <f>'3.8 Data EUR#USD'!F46/100</f>
        <v>1.3701376599910791E-2</v>
      </c>
      <c r="D45" s="8">
        <f>'3.8 Data EUR#USD'!G46/100</f>
        <v>1.6995204298932077E-2</v>
      </c>
      <c r="E45" s="8">
        <v>-7.5429660000000042E-3</v>
      </c>
      <c r="F45" s="8">
        <v>-1.1104188000000001E-2</v>
      </c>
      <c r="G45" s="8">
        <v>6.5935752E-2</v>
      </c>
    </row>
    <row r="46" spans="1:7" x14ac:dyDescent="0.2">
      <c r="A46" s="2">
        <v>38472</v>
      </c>
      <c r="B46" s="8">
        <f>'Final Data'!I46</f>
        <v>4.4016178919819718E-3</v>
      </c>
      <c r="C46" s="8">
        <f>'3.8 Data EUR#USD'!F47/100</f>
        <v>1.3701376599910791E-2</v>
      </c>
      <c r="D46" s="8">
        <f>'3.8 Data EUR#USD'!G47/100</f>
        <v>1.6995204298932077E-2</v>
      </c>
      <c r="E46" s="8">
        <v>-7.8705600000000021E-3</v>
      </c>
      <c r="F46" s="8">
        <v>-1.3874962999999997E-2</v>
      </c>
      <c r="G46" s="8">
        <v>6.0325762200000001E-2</v>
      </c>
    </row>
    <row r="47" spans="1:7" x14ac:dyDescent="0.2">
      <c r="A47" s="2">
        <v>38503</v>
      </c>
      <c r="B47" s="8">
        <f>'Final Data'!I47</f>
        <v>3.9440957005803599E-2</v>
      </c>
      <c r="C47" s="8">
        <f>'3.8 Data EUR#USD'!F48/100</f>
        <v>1.3701376599910791E-2</v>
      </c>
      <c r="D47" s="8">
        <f>'3.8 Data EUR#USD'!G48/100</f>
        <v>1.6995204298932077E-2</v>
      </c>
      <c r="E47" s="8">
        <v>-7.4400450000000036E-3</v>
      </c>
      <c r="F47" s="8">
        <v>-1.1750588000000001E-2</v>
      </c>
      <c r="G47" s="8">
        <v>6.6585386999999996E-2</v>
      </c>
    </row>
    <row r="48" spans="1:7" x14ac:dyDescent="0.2">
      <c r="A48" s="2">
        <v>38533</v>
      </c>
      <c r="B48" s="8">
        <f>'Final Data'!I48</f>
        <v>1.5382862351868667E-2</v>
      </c>
      <c r="C48" s="8">
        <f>'3.8 Data EUR#USD'!F49/100</f>
        <v>1.3745350979258155E-2</v>
      </c>
      <c r="D48" s="8">
        <f>'3.8 Data EUR#USD'!G49/100</f>
        <v>1.6652405391553656E-2</v>
      </c>
      <c r="E48" s="8">
        <v>-7.6286119999999964E-3</v>
      </c>
      <c r="F48" s="8">
        <v>-7.4503700000000013E-3</v>
      </c>
      <c r="G48" s="8">
        <v>6.8129264000000009E-2</v>
      </c>
    </row>
    <row r="49" spans="1:7" x14ac:dyDescent="0.2">
      <c r="A49" s="2">
        <v>38564</v>
      </c>
      <c r="B49" s="8">
        <f>'Final Data'!I49</f>
        <v>2.6933004152170899E-3</v>
      </c>
      <c r="C49" s="8">
        <f>'3.8 Data EUR#USD'!F50/100</f>
        <v>1.3745350979258155E-2</v>
      </c>
      <c r="D49" s="8">
        <f>'3.8 Data EUR#USD'!G50/100</f>
        <v>1.6652405391553656E-2</v>
      </c>
      <c r="E49" s="8">
        <v>-8.9665030000000007E-3</v>
      </c>
      <c r="F49" s="8">
        <v>-1.0953075E-2</v>
      </c>
      <c r="G49" s="8">
        <v>7.0467552000000003E-2</v>
      </c>
    </row>
    <row r="50" spans="1:7" x14ac:dyDescent="0.2">
      <c r="A50" s="2">
        <v>38595</v>
      </c>
      <c r="B50" s="8">
        <f>'Final Data'!I50</f>
        <v>-1.9809736989367614E-2</v>
      </c>
      <c r="C50" s="8">
        <f>'3.8 Data EUR#USD'!F51/100</f>
        <v>1.3745350979258155E-2</v>
      </c>
      <c r="D50" s="8">
        <f>'3.8 Data EUR#USD'!G51/100</f>
        <v>1.6652405391553656E-2</v>
      </c>
      <c r="E50" s="8">
        <v>-9.6230650000000001E-3</v>
      </c>
      <c r="F50" s="8">
        <v>-1.6596483999999998E-2</v>
      </c>
      <c r="G50" s="8">
        <v>6.6017491999999997E-2</v>
      </c>
    </row>
    <row r="51" spans="1:7" x14ac:dyDescent="0.2">
      <c r="A51" s="2">
        <v>38625</v>
      </c>
      <c r="B51" s="8">
        <f>'Final Data'!I51</f>
        <v>2.2151176067595316E-2</v>
      </c>
      <c r="C51" s="8">
        <f>'3.8 Data EUR#USD'!F52/100</f>
        <v>1.4618318627313611E-2</v>
      </c>
      <c r="D51" s="8">
        <f>'3.8 Data EUR#USD'!G52/100</f>
        <v>1.6446548057256233E-2</v>
      </c>
      <c r="E51" s="8">
        <v>-1.0516195000000001E-2</v>
      </c>
      <c r="F51" s="8">
        <v>-2.4978316000000004E-2</v>
      </c>
      <c r="G51" s="8">
        <v>6.4911358700000005E-2</v>
      </c>
    </row>
    <row r="52" spans="1:7" x14ac:dyDescent="0.2">
      <c r="A52" s="2">
        <v>38656</v>
      </c>
      <c r="B52" s="8">
        <f>'Final Data'!I52</f>
        <v>6.1438784629132843E-3</v>
      </c>
      <c r="C52" s="8">
        <f>'3.8 Data EUR#USD'!F53/100</f>
        <v>1.4618318627313611E-2</v>
      </c>
      <c r="D52" s="8">
        <f>'3.8 Data EUR#USD'!G53/100</f>
        <v>1.6446548057256233E-2</v>
      </c>
      <c r="E52" s="8">
        <v>-1.1524171999999999E-2</v>
      </c>
      <c r="F52" s="8">
        <v>-2.2117919999999999E-2</v>
      </c>
      <c r="G52" s="8">
        <v>7.0947886000000002E-2</v>
      </c>
    </row>
    <row r="53" spans="1:7" x14ac:dyDescent="0.2">
      <c r="A53" s="2">
        <v>38686</v>
      </c>
      <c r="B53" s="8">
        <f>'Final Data'!I53</f>
        <v>1.6653713778172534E-2</v>
      </c>
      <c r="C53" s="8">
        <f>'3.8 Data EUR#USD'!F54/100</f>
        <v>1.4618318627313611E-2</v>
      </c>
      <c r="D53" s="8">
        <f>'3.8 Data EUR#USD'!G54/100</f>
        <v>1.6446548057256233E-2</v>
      </c>
      <c r="E53" s="8">
        <v>-1.0245721999999997E-2</v>
      </c>
      <c r="F53" s="8">
        <v>-1.3104340999999997E-2</v>
      </c>
      <c r="G53" s="8">
        <v>7.0758661E-2</v>
      </c>
    </row>
    <row r="54" spans="1:7" x14ac:dyDescent="0.2">
      <c r="A54" s="2">
        <v>38717</v>
      </c>
      <c r="B54" s="8">
        <f>'Final Data'!I54</f>
        <v>-4.3682428743037184E-3</v>
      </c>
      <c r="C54" s="8">
        <f>'3.8 Data EUR#USD'!F55/100</f>
        <v>1.4992343055040953E-2</v>
      </c>
      <c r="D54" s="8">
        <f>'3.8 Data EUR#USD'!G55/100</f>
        <v>1.5837863046243007E-2</v>
      </c>
      <c r="E54" s="8">
        <v>-1.0541926999999998E-2</v>
      </c>
      <c r="F54" s="8">
        <v>-1.3505352E-2</v>
      </c>
      <c r="G54" s="8">
        <v>7.2313602000000005E-2</v>
      </c>
    </row>
    <row r="55" spans="1:7" x14ac:dyDescent="0.2">
      <c r="A55" s="2">
        <v>38748</v>
      </c>
      <c r="B55" s="8">
        <f>'Final Data'!I55</f>
        <v>-2.4240429965997675E-2</v>
      </c>
      <c r="C55" s="8">
        <f>'3.8 Data EUR#USD'!F56/100</f>
        <v>1.4992343055040953E-2</v>
      </c>
      <c r="D55" s="8">
        <f>'3.8 Data EUR#USD'!G56/100</f>
        <v>1.5837863046243007E-2</v>
      </c>
      <c r="E55" s="8">
        <v>-1.0290183999999996E-2</v>
      </c>
      <c r="F55" s="8">
        <v>-1.8102959999999998E-2</v>
      </c>
      <c r="G55" s="8">
        <v>7.2913482000000002E-2</v>
      </c>
    </row>
    <row r="56" spans="1:7" x14ac:dyDescent="0.2">
      <c r="A56" s="2">
        <v>38776</v>
      </c>
      <c r="B56" s="8">
        <f>'Final Data'!I56</f>
        <v>1.292715827338136E-2</v>
      </c>
      <c r="C56" s="8">
        <f>'3.8 Data EUR#USD'!F57/100</f>
        <v>1.4992343055040953E-2</v>
      </c>
      <c r="D56" s="8">
        <f>'3.8 Data EUR#USD'!G57/100</f>
        <v>1.5837863046243007E-2</v>
      </c>
      <c r="E56" s="8">
        <v>-1.0316910999999998E-2</v>
      </c>
      <c r="F56" s="8">
        <v>-1.4379273999999999E-2</v>
      </c>
      <c r="G56" s="8">
        <v>6.3939358000000002E-2</v>
      </c>
    </row>
    <row r="57" spans="1:7" x14ac:dyDescent="0.2">
      <c r="A57" s="2">
        <v>38807</v>
      </c>
      <c r="B57" s="8">
        <f>'Final Data'!I57</f>
        <v>-4.2170680279657695E-3</v>
      </c>
      <c r="C57" s="8">
        <f>'3.8 Data EUR#USD'!F58/100</f>
        <v>1.5941261185866896E-2</v>
      </c>
      <c r="D57" s="8">
        <f>'3.8 Data EUR#USD'!G58/100</f>
        <v>1.6151051764326376E-2</v>
      </c>
      <c r="E57" s="8">
        <v>-1.0068433000000003E-2</v>
      </c>
      <c r="F57" s="8">
        <v>-1.5017444999999997E-2</v>
      </c>
      <c r="G57" s="8">
        <v>6.0289141600000005E-2</v>
      </c>
    </row>
    <row r="58" spans="1:7" x14ac:dyDescent="0.2">
      <c r="A58" s="2">
        <v>38837</v>
      </c>
      <c r="B58" s="8">
        <f>'Final Data'!I58</f>
        <v>-4.034325197815674E-2</v>
      </c>
      <c r="C58" s="8">
        <f>'3.8 Data EUR#USD'!F59/100</f>
        <v>1.5941261185866896E-2</v>
      </c>
      <c r="D58" s="8">
        <f>'3.8 Data EUR#USD'!G59/100</f>
        <v>1.6151051764326376E-2</v>
      </c>
      <c r="E58" s="8">
        <v>-9.9082880000000012E-3</v>
      </c>
      <c r="F58" s="8">
        <v>-1.3836416999999997E-2</v>
      </c>
      <c r="G58" s="8">
        <v>7.1851405999999993E-2</v>
      </c>
    </row>
    <row r="59" spans="1:7" x14ac:dyDescent="0.2">
      <c r="A59" s="2">
        <v>38868</v>
      </c>
      <c r="B59" s="8">
        <f>'Final Data'!I59</f>
        <v>-1.6142143769597033E-2</v>
      </c>
      <c r="C59" s="8">
        <f>'3.8 Data EUR#USD'!F60/100</f>
        <v>1.5941261185866896E-2</v>
      </c>
      <c r="D59" s="8">
        <f>'3.8 Data EUR#USD'!G60/100</f>
        <v>1.6151051764326376E-2</v>
      </c>
      <c r="E59" s="8">
        <v>-1.0505616000000001E-2</v>
      </c>
      <c r="F59" s="8">
        <v>-1.5630462000000001E-2</v>
      </c>
      <c r="G59" s="8">
        <v>6.8290054000000003E-2</v>
      </c>
    </row>
    <row r="60" spans="1:7" x14ac:dyDescent="0.2">
      <c r="A60" s="2">
        <v>38898</v>
      </c>
      <c r="B60" s="8">
        <f>'Final Data'!I60</f>
        <v>5.9017941454202081E-3</v>
      </c>
      <c r="C60" s="8">
        <f>'3.8 Data EUR#USD'!F61/100</f>
        <v>1.6557373092616675E-2</v>
      </c>
      <c r="D60" s="8">
        <f>'3.8 Data EUR#USD'!G61/100</f>
        <v>1.5838074335253579E-2</v>
      </c>
      <c r="E60" s="8">
        <v>-1.0429465000000002E-2</v>
      </c>
      <c r="F60" s="8">
        <v>-1.8664421E-2</v>
      </c>
      <c r="G60" s="8">
        <v>7.4482696000000001E-2</v>
      </c>
    </row>
    <row r="61" spans="1:7" x14ac:dyDescent="0.2">
      <c r="A61" s="2">
        <v>38929</v>
      </c>
      <c r="B61" s="8">
        <f>'Final Data'!I61</f>
        <v>9.3874677305794759E-4</v>
      </c>
      <c r="C61" s="8">
        <f>'3.8 Data EUR#USD'!F62/100</f>
        <v>1.6557373092616675E-2</v>
      </c>
      <c r="D61" s="8">
        <f>'3.8 Data EUR#USD'!G62/100</f>
        <v>1.5838074335253579E-2</v>
      </c>
      <c r="E61" s="8">
        <v>-1.0085567000000007E-2</v>
      </c>
      <c r="F61" s="8">
        <v>-1.8664735000000002E-2</v>
      </c>
      <c r="G61" s="8">
        <v>7.2994034999999999E-2</v>
      </c>
    </row>
    <row r="62" spans="1:7" x14ac:dyDescent="0.2">
      <c r="A62" s="2">
        <v>38960</v>
      </c>
      <c r="B62" s="8">
        <f>'Final Data'!I62</f>
        <v>-2.9308323563892145E-3</v>
      </c>
      <c r="C62" s="8">
        <f>'3.8 Data EUR#USD'!F63/100</f>
        <v>1.6557373092616675E-2</v>
      </c>
      <c r="D62" s="8">
        <f>'3.8 Data EUR#USD'!G63/100</f>
        <v>1.5838074335253579E-2</v>
      </c>
      <c r="E62" s="8">
        <v>-9.1766959999999998E-3</v>
      </c>
      <c r="F62" s="8">
        <v>-1.7997646999999999E-2</v>
      </c>
      <c r="G62" s="8">
        <v>7.8110098000000003E-2</v>
      </c>
    </row>
    <row r="63" spans="1:7" x14ac:dyDescent="0.2">
      <c r="A63" s="2">
        <v>38990</v>
      </c>
      <c r="B63" s="8">
        <f>'Final Data'!I63</f>
        <v>1.0817166372721948E-2</v>
      </c>
      <c r="C63" s="8">
        <f>'3.8 Data EUR#USD'!F64/100</f>
        <v>1.6303796022064419E-2</v>
      </c>
      <c r="D63" s="8">
        <f>'3.8 Data EUR#USD'!G64/100</f>
        <v>1.4925980976030644E-2</v>
      </c>
      <c r="E63" s="8">
        <v>-8.7639200000000014E-3</v>
      </c>
      <c r="F63" s="8">
        <v>-3.4409889999999989E-3</v>
      </c>
      <c r="G63" s="8">
        <v>7.6294077000000002E-2</v>
      </c>
    </row>
    <row r="64" spans="1:7" x14ac:dyDescent="0.2">
      <c r="A64" s="2">
        <v>39021</v>
      </c>
      <c r="B64" s="8">
        <f>'Final Data'!I64</f>
        <v>-7.5607770152379397E-3</v>
      </c>
      <c r="C64" s="8">
        <f>'3.8 Data EUR#USD'!F65/100</f>
        <v>1.6303796022064419E-2</v>
      </c>
      <c r="D64" s="8">
        <f>'3.8 Data EUR#USD'!G65/100</f>
        <v>1.4925980976030644E-2</v>
      </c>
      <c r="E64" s="8">
        <v>-8.4544100000000059E-3</v>
      </c>
      <c r="F64" s="8">
        <v>1.1846559999999994E-3</v>
      </c>
      <c r="G64" s="8">
        <v>7.3252732000000001E-2</v>
      </c>
    </row>
    <row r="65" spans="1:7" x14ac:dyDescent="0.2">
      <c r="A65" s="2">
        <v>39051</v>
      </c>
      <c r="B65" s="8">
        <f>'Final Data'!I65</f>
        <v>-2.8129395218002715E-2</v>
      </c>
      <c r="C65" s="8">
        <f>'3.8 Data EUR#USD'!F66/100</f>
        <v>1.6303796022064419E-2</v>
      </c>
      <c r="D65" s="8">
        <f>'3.8 Data EUR#USD'!G66/100</f>
        <v>1.4925980976030644E-2</v>
      </c>
      <c r="E65" s="8">
        <v>-7.9524910000000042E-3</v>
      </c>
      <c r="F65" s="8">
        <v>-2.2292010000000005E-3</v>
      </c>
      <c r="G65" s="8">
        <v>6.8425550000000002E-2</v>
      </c>
    </row>
    <row r="66" spans="1:7" x14ac:dyDescent="0.2">
      <c r="A66" s="2">
        <v>39082</v>
      </c>
      <c r="B66" s="8">
        <f>'Final Data'!I66</f>
        <v>9.6478533526290055E-3</v>
      </c>
      <c r="C66" s="8">
        <f>'3.8 Data EUR#USD'!F67/100</f>
        <v>1.6893715436918109E-2</v>
      </c>
      <c r="D66" s="8">
        <f>'3.8 Data EUR#USD'!G67/100</f>
        <v>1.537506040913097E-2</v>
      </c>
      <c r="E66" s="8">
        <v>-6.8767179999999995E-3</v>
      </c>
      <c r="F66" s="8">
        <v>-6.3819609999999985E-3</v>
      </c>
      <c r="G66" s="8">
        <v>7.5251196000000006E-2</v>
      </c>
    </row>
    <row r="67" spans="1:7" x14ac:dyDescent="0.2">
      <c r="A67" s="2">
        <v>39113</v>
      </c>
      <c r="B67" s="8">
        <f>'Final Data'!I67</f>
        <v>1.0630673674151943E-2</v>
      </c>
      <c r="C67" s="8">
        <f>'3.8 Data EUR#USD'!F68/100</f>
        <v>1.6893715436918109E-2</v>
      </c>
      <c r="D67" s="8">
        <f>'3.8 Data EUR#USD'!G68/100</f>
        <v>1.537506040913097E-2</v>
      </c>
      <c r="E67" s="8">
        <v>-6.5507459999999988E-3</v>
      </c>
      <c r="F67" s="8">
        <v>-1.2478219999999985E-3</v>
      </c>
      <c r="G67" s="8">
        <v>7.3310916000000004E-2</v>
      </c>
    </row>
    <row r="68" spans="1:7" x14ac:dyDescent="0.2">
      <c r="A68" s="2">
        <v>39141</v>
      </c>
      <c r="B68" s="8">
        <f>'Final Data'!I68</f>
        <v>-1.2291691289445766E-2</v>
      </c>
      <c r="C68" s="8">
        <f>'3.8 Data EUR#USD'!F69/100</f>
        <v>1.6893715436918109E-2</v>
      </c>
      <c r="D68" s="8">
        <f>'3.8 Data EUR#USD'!G69/100</f>
        <v>1.537506040913097E-2</v>
      </c>
      <c r="E68" s="8">
        <v>-5.9697069999999994E-3</v>
      </c>
      <c r="F68" s="8">
        <v>-5.6377089999999994E-3</v>
      </c>
      <c r="G68" s="8">
        <v>5.9403397599999998E-2</v>
      </c>
    </row>
    <row r="69" spans="1:7" x14ac:dyDescent="0.2">
      <c r="A69" s="2">
        <v>39172</v>
      </c>
      <c r="B69" s="8">
        <f>'Final Data'!I69</f>
        <v>-7.6582505683856217E-3</v>
      </c>
      <c r="C69" s="8">
        <f>'3.8 Data EUR#USD'!F70/100</f>
        <v>1.6578893676699076E-2</v>
      </c>
      <c r="D69" s="8">
        <f>'3.8 Data EUR#USD'!G70/100</f>
        <v>1.3709542785744867E-2</v>
      </c>
      <c r="E69" s="8">
        <v>-5.2625260000000026E-3</v>
      </c>
      <c r="F69" s="8">
        <v>-7.9568309999999975E-3</v>
      </c>
      <c r="G69" s="8">
        <v>7.3902479000000007E-2</v>
      </c>
    </row>
    <row r="70" spans="1:7" x14ac:dyDescent="0.2">
      <c r="A70" s="2">
        <v>39202</v>
      </c>
      <c r="B70" s="8">
        <f>'Final Data'!I70</f>
        <v>-1.7846376462076496E-2</v>
      </c>
      <c r="C70" s="8">
        <f>'3.8 Data EUR#USD'!F71/100</f>
        <v>1.6578893676699076E-2</v>
      </c>
      <c r="D70" s="8">
        <f>'3.8 Data EUR#USD'!G71/100</f>
        <v>1.3709542785744867E-2</v>
      </c>
      <c r="E70" s="8">
        <v>-4.54726E-3</v>
      </c>
      <c r="F70" s="8">
        <v>-6.5834369999999984E-3</v>
      </c>
      <c r="G70" s="8">
        <v>6.7777588E-2</v>
      </c>
    </row>
    <row r="71" spans="1:7" x14ac:dyDescent="0.2">
      <c r="A71" s="2">
        <v>39233</v>
      </c>
      <c r="B71" s="8">
        <f>'Final Data'!I71</f>
        <v>1.043585021485567E-2</v>
      </c>
      <c r="C71" s="8">
        <f>'3.8 Data EUR#USD'!F72/100</f>
        <v>1.6578893676699076E-2</v>
      </c>
      <c r="D71" s="8">
        <f>'3.8 Data EUR#USD'!G72/100</f>
        <v>1.3709542785744867E-2</v>
      </c>
      <c r="E71" s="8">
        <v>-3.7911699999999991E-3</v>
      </c>
      <c r="F71" s="8">
        <v>-8.482927999999999E-3</v>
      </c>
      <c r="G71" s="8">
        <v>6.6705503999999999E-2</v>
      </c>
    </row>
    <row r="72" spans="1:7" x14ac:dyDescent="0.2">
      <c r="A72" s="2">
        <v>39263</v>
      </c>
      <c r="B72" s="8">
        <f>'Final Data'!I72</f>
        <v>-4.6172539489671384E-3</v>
      </c>
      <c r="C72" s="8">
        <f>'3.8 Data EUR#USD'!F73/100</f>
        <v>1.6031396683551094E-2</v>
      </c>
      <c r="D72" s="8">
        <f>'3.8 Data EUR#USD'!G73/100</f>
        <v>1.4316559296847249E-2</v>
      </c>
      <c r="E72" s="8">
        <v>-4.5682759999999953E-3</v>
      </c>
      <c r="F72" s="8">
        <v>-7.5532149999999977E-3</v>
      </c>
      <c r="G72" s="8">
        <v>6.8736854999999999E-2</v>
      </c>
    </row>
    <row r="73" spans="1:7" x14ac:dyDescent="0.2">
      <c r="A73" s="2">
        <v>39294</v>
      </c>
      <c r="B73" s="8">
        <f>'Final Data'!I73</f>
        <v>-1.4038085937500069E-2</v>
      </c>
      <c r="C73" s="8">
        <f>'3.8 Data EUR#USD'!F74/100</f>
        <v>1.6031396683551094E-2</v>
      </c>
      <c r="D73" s="8">
        <f>'3.8 Data EUR#USD'!G74/100</f>
        <v>1.4316559296847249E-2</v>
      </c>
      <c r="E73" s="8">
        <v>-3.8346999999999999E-3</v>
      </c>
      <c r="F73" s="8">
        <v>-3.600559999999997E-3</v>
      </c>
      <c r="G73" s="8">
        <v>5.9681484999999999E-2</v>
      </c>
    </row>
    <row r="74" spans="1:7" x14ac:dyDescent="0.2">
      <c r="A74" s="2">
        <v>39325</v>
      </c>
      <c r="B74" s="8">
        <f>'Final Data'!I74</f>
        <v>2.4761668936498988E-4</v>
      </c>
      <c r="C74" s="8">
        <f>'3.8 Data EUR#USD'!F75/100</f>
        <v>1.6031396683551094E-2</v>
      </c>
      <c r="D74" s="8">
        <f>'3.8 Data EUR#USD'!G75/100</f>
        <v>1.4316559296847249E-2</v>
      </c>
      <c r="E74" s="8">
        <v>-2.528376999999997E-3</v>
      </c>
      <c r="F74" s="8">
        <v>-4.1445100000000014E-4</v>
      </c>
      <c r="G74" s="8">
        <v>6.1184997999999997E-2</v>
      </c>
    </row>
    <row r="75" spans="1:7" x14ac:dyDescent="0.2">
      <c r="A75" s="2">
        <v>39355</v>
      </c>
      <c r="B75" s="8">
        <f>'Final Data'!I75</f>
        <v>-3.7999752444609569E-2</v>
      </c>
      <c r="C75" s="8">
        <f>'3.8 Data EUR#USD'!F76/100</f>
        <v>1.5825159935392109E-2</v>
      </c>
      <c r="D75" s="8">
        <f>'3.8 Data EUR#USD'!G76/100</f>
        <v>1.4989672891687265E-2</v>
      </c>
      <c r="E75" s="8">
        <v>-1.3148850000000056E-3</v>
      </c>
      <c r="F75" s="8">
        <v>-5.9832790000000011E-3</v>
      </c>
      <c r="G75" s="8">
        <v>6.0608540999999995E-2</v>
      </c>
    </row>
    <row r="76" spans="1:7" x14ac:dyDescent="0.2">
      <c r="A76" s="2">
        <v>39386</v>
      </c>
      <c r="B76" s="8">
        <f>'Final Data'!I76</f>
        <v>-1.5954709212557833E-2</v>
      </c>
      <c r="C76" s="8">
        <f>'3.8 Data EUR#USD'!F77/100</f>
        <v>1.5825159935392109E-2</v>
      </c>
      <c r="D76" s="8">
        <f>'3.8 Data EUR#USD'!G77/100</f>
        <v>1.4989672891687265E-2</v>
      </c>
      <c r="E76" s="8">
        <v>-9.8341000000000465E-4</v>
      </c>
      <c r="F76" s="8">
        <v>-9.6030309999999997E-3</v>
      </c>
      <c r="G76" s="8">
        <v>5.7633209999999997E-2</v>
      </c>
    </row>
    <row r="77" spans="1:7" x14ac:dyDescent="0.2">
      <c r="A77" s="2">
        <v>39416</v>
      </c>
      <c r="B77" s="8">
        <f>'Final Data'!I77</f>
        <v>-4.3148535564853331E-3</v>
      </c>
      <c r="C77" s="8">
        <f>'3.8 Data EUR#USD'!F78/100</f>
        <v>1.5825159935392109E-2</v>
      </c>
      <c r="D77" s="8">
        <f>'3.8 Data EUR#USD'!G78/100</f>
        <v>1.4989672891687265E-2</v>
      </c>
      <c r="E77" s="8">
        <v>1.0714199999999963E-3</v>
      </c>
      <c r="F77" s="8">
        <v>-1.2359158000000004E-2</v>
      </c>
      <c r="G77" s="8">
        <v>5.5222087999999996E-2</v>
      </c>
    </row>
    <row r="78" spans="1:7" x14ac:dyDescent="0.2">
      <c r="A78" s="2">
        <v>39447</v>
      </c>
      <c r="B78" s="8">
        <f>'Final Data'!I78</f>
        <v>7.0912672357188707E-3</v>
      </c>
      <c r="C78" s="8">
        <f>'3.8 Data EUR#USD'!F79/100</f>
        <v>1.4891438409802289E-2</v>
      </c>
      <c r="D78" s="8">
        <f>'3.8 Data EUR#USD'!G79/100</f>
        <v>1.4633123487540436E-2</v>
      </c>
      <c r="E78" s="8">
        <v>2.9678939999999974E-3</v>
      </c>
      <c r="F78" s="8">
        <v>-9.9285369999999942E-3</v>
      </c>
      <c r="G78" s="8">
        <v>5.7335054999999996E-2</v>
      </c>
    </row>
    <row r="79" spans="1:7" x14ac:dyDescent="0.2">
      <c r="A79" s="2">
        <v>39478</v>
      </c>
      <c r="B79" s="8">
        <f>'Final Data'!I79</f>
        <v>-1.9689659668796336E-2</v>
      </c>
      <c r="C79" s="8">
        <f>'3.8 Data EUR#USD'!F80/100</f>
        <v>1.4891438409802289E-2</v>
      </c>
      <c r="D79" s="8">
        <f>'3.8 Data EUR#USD'!G80/100</f>
        <v>1.4633123487540436E-2</v>
      </c>
      <c r="E79" s="8">
        <v>4.695023000000003E-3</v>
      </c>
      <c r="F79" s="8">
        <v>-1.0870629000000003E-2</v>
      </c>
      <c r="G79" s="8">
        <v>5.2035410000000004E-2</v>
      </c>
    </row>
    <row r="80" spans="1:7" x14ac:dyDescent="0.2">
      <c r="A80" s="2">
        <v>39507</v>
      </c>
      <c r="B80" s="8">
        <f>'Final Data'!I80</f>
        <v>-1.9553072625698498E-2</v>
      </c>
      <c r="C80" s="8">
        <f>'3.8 Data EUR#USD'!F81/100</f>
        <v>1.4891438409802289E-2</v>
      </c>
      <c r="D80" s="8">
        <f>'3.8 Data EUR#USD'!G81/100</f>
        <v>1.4633123487540436E-2</v>
      </c>
      <c r="E80" s="8">
        <v>4.0155550000000014E-3</v>
      </c>
      <c r="F80" s="8">
        <v>-8.9895349999999982E-3</v>
      </c>
      <c r="G80" s="8">
        <v>5.5121922599999998E-2</v>
      </c>
    </row>
    <row r="81" spans="1:7" x14ac:dyDescent="0.2">
      <c r="A81" s="2">
        <v>39538</v>
      </c>
      <c r="B81" s="8">
        <f>'Final Data'!I81</f>
        <v>-2.5912359245692535E-2</v>
      </c>
      <c r="C81" s="8">
        <f>'3.8 Data EUR#USD'!F82/100</f>
        <v>1.4782527926706283E-2</v>
      </c>
      <c r="D81" s="8">
        <f>'3.8 Data EUR#USD'!G82/100</f>
        <v>1.3374629354738893E-2</v>
      </c>
      <c r="E81" s="8">
        <v>5.9129139999999983E-3</v>
      </c>
      <c r="F81" s="8">
        <v>-5.3148539999999973E-3</v>
      </c>
      <c r="G81" s="8">
        <v>5.3490957200000001E-2</v>
      </c>
    </row>
    <row r="82" spans="1:7" x14ac:dyDescent="0.2">
      <c r="A82" s="2">
        <v>39568</v>
      </c>
      <c r="B82" s="8">
        <f>'Final Data'!I82</f>
        <v>9.8885793871867408E-3</v>
      </c>
      <c r="C82" s="8">
        <f>'3.8 Data EUR#USD'!F83/100</f>
        <v>1.4782527926706283E-2</v>
      </c>
      <c r="D82" s="8">
        <f>'3.8 Data EUR#USD'!G83/100</f>
        <v>1.3374629354738893E-2</v>
      </c>
      <c r="E82" s="8">
        <v>6.6873100000000019E-3</v>
      </c>
      <c r="F82" s="8">
        <v>-6.6182430000000011E-3</v>
      </c>
      <c r="G82" s="8">
        <v>5.6083219599999998E-2</v>
      </c>
    </row>
    <row r="83" spans="1:7" x14ac:dyDescent="0.2">
      <c r="A83" s="2">
        <v>39599</v>
      </c>
      <c r="B83" s="8">
        <f>'Final Data'!I83</f>
        <v>5.1027444490413781E-3</v>
      </c>
      <c r="C83" s="8">
        <f>'3.8 Data EUR#USD'!F84/100</f>
        <v>1.4782527926706283E-2</v>
      </c>
      <c r="D83" s="8">
        <f>'3.8 Data EUR#USD'!G84/100</f>
        <v>1.3374629354738893E-2</v>
      </c>
      <c r="E83" s="8">
        <v>5.6291009999999983E-3</v>
      </c>
      <c r="F83" s="8">
        <v>-4.9077100000000009E-3</v>
      </c>
      <c r="G83" s="8">
        <v>5.2289735999999996E-2</v>
      </c>
    </row>
    <row r="84" spans="1:7" x14ac:dyDescent="0.2">
      <c r="A84" s="2">
        <v>39629</v>
      </c>
      <c r="B84" s="8">
        <f>'Final Data'!I84</f>
        <v>-5.7628979143798265E-3</v>
      </c>
      <c r="C84" s="8">
        <f>'3.8 Data EUR#USD'!F85/100</f>
        <v>1.2712696295263415E-2</v>
      </c>
      <c r="D84" s="8">
        <f>'3.8 Data EUR#USD'!G85/100</f>
        <v>1.3343882602656398E-2</v>
      </c>
      <c r="E84" s="8">
        <v>7.0300999999999992E-3</v>
      </c>
      <c r="F84" s="8">
        <v>-1.0180944999999997E-2</v>
      </c>
      <c r="G84" s="8">
        <v>4.4478945999999998E-2</v>
      </c>
    </row>
    <row r="85" spans="1:7" x14ac:dyDescent="0.2">
      <c r="A85" s="2">
        <v>39660</v>
      </c>
      <c r="B85" s="8">
        <f>'Final Data'!I85</f>
        <v>1.062655258073434E-2</v>
      </c>
      <c r="C85" s="8">
        <f>'3.8 Data EUR#USD'!F86/100</f>
        <v>1.2712696295263415E-2</v>
      </c>
      <c r="D85" s="8">
        <f>'3.8 Data EUR#USD'!G86/100</f>
        <v>1.3343882602656398E-2</v>
      </c>
      <c r="E85" s="8">
        <v>7.759345E-3</v>
      </c>
      <c r="F85" s="8">
        <v>-1.5045078000000003E-2</v>
      </c>
      <c r="G85" s="8">
        <v>4.3457085800000003E-2</v>
      </c>
    </row>
    <row r="86" spans="1:7" x14ac:dyDescent="0.2">
      <c r="A86" s="2">
        <v>39691</v>
      </c>
      <c r="B86" s="8">
        <f>'Final Data'!I86</f>
        <v>5.6670763348354379E-2</v>
      </c>
      <c r="C86" s="8">
        <f>'3.8 Data EUR#USD'!F87/100</f>
        <v>1.2712696295263415E-2</v>
      </c>
      <c r="D86" s="8">
        <f>'3.8 Data EUR#USD'!G87/100</f>
        <v>1.3343882602656398E-2</v>
      </c>
      <c r="E86" s="8">
        <v>6.0630690000000034E-3</v>
      </c>
      <c r="F86" s="8">
        <v>-1.5094969999999996E-2</v>
      </c>
      <c r="G86" s="8">
        <v>4.6736996340000003E-2</v>
      </c>
    </row>
    <row r="87" spans="1:7" x14ac:dyDescent="0.2">
      <c r="A87" s="2">
        <v>39721</v>
      </c>
      <c r="B87" s="8">
        <f>'Final Data'!I87</f>
        <v>2.6751098475058251E-2</v>
      </c>
      <c r="C87" s="8">
        <f>'3.8 Data EUR#USD'!F88/100</f>
        <v>1.037096285757785E-2</v>
      </c>
      <c r="D87" s="8">
        <f>'3.8 Data EUR#USD'!G88/100</f>
        <v>1.0817820088993504E-2</v>
      </c>
      <c r="E87" s="8">
        <v>7.7193069999999999E-3</v>
      </c>
      <c r="F87" s="8">
        <v>-1.3237404999999995E-2</v>
      </c>
      <c r="G87" s="8">
        <v>4.8481471599999999E-2</v>
      </c>
    </row>
    <row r="88" spans="1:7" x14ac:dyDescent="0.2">
      <c r="A88" s="2">
        <v>39752</v>
      </c>
      <c r="B88" s="8">
        <f>'Final Data'!I88</f>
        <v>7.7784770295783415E-2</v>
      </c>
      <c r="C88" s="8">
        <f>'3.8 Data EUR#USD'!F89/100</f>
        <v>1.037096285757785E-2</v>
      </c>
      <c r="D88" s="8">
        <f>'3.8 Data EUR#USD'!G89/100</f>
        <v>1.0817820088993504E-2</v>
      </c>
      <c r="E88" s="8">
        <v>5.3203470000000004E-3</v>
      </c>
      <c r="F88" s="8">
        <v>-5.8388770000000001E-3</v>
      </c>
      <c r="G88" s="8">
        <v>3.8920982000000007E-2</v>
      </c>
    </row>
    <row r="89" spans="1:7" x14ac:dyDescent="0.2">
      <c r="A89" s="2">
        <v>39782</v>
      </c>
      <c r="B89" s="8">
        <f>'Final Data'!I89</f>
        <v>1.0393553661100089E-2</v>
      </c>
      <c r="C89" s="8">
        <f>'3.8 Data EUR#USD'!F90/100</f>
        <v>1.037096285757785E-2</v>
      </c>
      <c r="D89" s="8">
        <f>'3.8 Data EUR#USD'!G90/100</f>
        <v>1.0817820088993504E-2</v>
      </c>
      <c r="E89" s="8">
        <v>5.8385170000000031E-3</v>
      </c>
      <c r="F89" s="8">
        <v>1.0375190999999999E-2</v>
      </c>
      <c r="G89" s="8">
        <v>3.2784482600000005E-2</v>
      </c>
    </row>
    <row r="90" spans="1:7" x14ac:dyDescent="0.2">
      <c r="A90" s="2">
        <v>39813</v>
      </c>
      <c r="B90" s="8">
        <f>'Final Data'!I90</f>
        <v>-6.2066574202496422E-2</v>
      </c>
      <c r="C90" s="8">
        <f>'3.8 Data EUR#USD'!F91/100</f>
        <v>-1.028690641495566E-2</v>
      </c>
      <c r="D90" s="8">
        <f>'3.8 Data EUR#USD'!G91/100</f>
        <v>-1.1550900774934043E-2</v>
      </c>
      <c r="E90" s="8">
        <v>1.3276507E-2</v>
      </c>
      <c r="F90" s="8">
        <v>1.5855867000000003E-2</v>
      </c>
      <c r="G90" s="8">
        <v>4.1464439700000001E-2</v>
      </c>
    </row>
    <row r="91" spans="1:7" x14ac:dyDescent="0.2">
      <c r="A91" s="2">
        <v>39844</v>
      </c>
      <c r="B91" s="8">
        <f>'Final Data'!I91</f>
        <v>5.7670979667282712E-2</v>
      </c>
      <c r="C91" s="8">
        <f>'3.8 Data EUR#USD'!F92/100</f>
        <v>-1.028690641495566E-2</v>
      </c>
      <c r="D91" s="8">
        <f>'3.8 Data EUR#USD'!G92/100</f>
        <v>-1.1550900774934043E-2</v>
      </c>
      <c r="E91" s="8">
        <v>1.4125153E-2</v>
      </c>
      <c r="F91" s="8">
        <v>1.3285510699999998E-2</v>
      </c>
      <c r="G91" s="8">
        <v>2.1352038999999996E-2</v>
      </c>
    </row>
    <row r="92" spans="1:7" x14ac:dyDescent="0.2">
      <c r="A92" s="2">
        <v>39872</v>
      </c>
      <c r="B92" s="8">
        <f>'Final Data'!I92</f>
        <v>2.7263194687172358E-2</v>
      </c>
      <c r="C92" s="8">
        <f>'3.8 Data EUR#USD'!F93/100</f>
        <v>-1.028690641495566E-2</v>
      </c>
      <c r="D92" s="8">
        <f>'3.8 Data EUR#USD'!G93/100</f>
        <v>-1.1550900774934043E-2</v>
      </c>
      <c r="E92" s="8">
        <v>1.0870831999999999E-2</v>
      </c>
      <c r="F92" s="8">
        <v>1.128788557E-2</v>
      </c>
      <c r="G92" s="8">
        <v>2.47667307E-2</v>
      </c>
    </row>
    <row r="93" spans="1:7" x14ac:dyDescent="0.2">
      <c r="A93" s="2">
        <v>39903</v>
      </c>
      <c r="B93" s="8">
        <f>'Final Data'!I93</f>
        <v>-3.0168991720539828E-2</v>
      </c>
      <c r="C93" s="8">
        <f>'3.8 Data EUR#USD'!F94/100</f>
        <v>-1.675351686753878E-2</v>
      </c>
      <c r="D93" s="8">
        <f>'3.8 Data EUR#USD'!G94/100</f>
        <v>-1.3072995670032199E-2</v>
      </c>
      <c r="E93" s="8">
        <v>1.0722372000000001E-2</v>
      </c>
      <c r="F93" s="8">
        <v>1.0555782E-2</v>
      </c>
      <c r="G93" s="8">
        <v>2.5877314999999998E-2</v>
      </c>
    </row>
    <row r="94" spans="1:7" x14ac:dyDescent="0.2">
      <c r="A94" s="2">
        <v>39933</v>
      </c>
      <c r="B94" s="8">
        <f>'Final Data'!I94</f>
        <v>-8.069231668810805E-3</v>
      </c>
      <c r="C94" s="8">
        <f>'3.8 Data EUR#USD'!F95/100</f>
        <v>-1.675351686753878E-2</v>
      </c>
      <c r="D94" s="8">
        <f>'3.8 Data EUR#USD'!G95/100</f>
        <v>-1.3072995670032199E-2</v>
      </c>
      <c r="E94" s="8">
        <v>9.8254019999999987E-3</v>
      </c>
      <c r="F94" s="8">
        <v>1.0340369E-2</v>
      </c>
      <c r="G94" s="8">
        <v>3.2997989300000002E-2</v>
      </c>
    </row>
    <row r="95" spans="1:7" x14ac:dyDescent="0.2">
      <c r="A95" s="2">
        <v>39964</v>
      </c>
      <c r="B95" s="8">
        <f>'Final Data'!I95</f>
        <v>-6.5904267861353338E-2</v>
      </c>
      <c r="C95" s="8">
        <f>'3.8 Data EUR#USD'!F96/100</f>
        <v>-1.675351686753878E-2</v>
      </c>
      <c r="D95" s="8">
        <f>'3.8 Data EUR#USD'!G96/100</f>
        <v>-1.3072995670032199E-2</v>
      </c>
      <c r="E95" s="8">
        <v>6.9820260000000014E-3</v>
      </c>
      <c r="F95" s="8">
        <v>1.0491992800000001E-2</v>
      </c>
      <c r="G95" s="8">
        <v>3.5666807000000002E-2</v>
      </c>
    </row>
    <row r="96" spans="1:7" x14ac:dyDescent="0.2">
      <c r="A96" s="2">
        <v>39994</v>
      </c>
      <c r="B96" s="8">
        <f>'Final Data'!I96</f>
        <v>1.173797803862164E-2</v>
      </c>
      <c r="C96" s="8">
        <f>'3.8 Data EUR#USD'!F97/100</f>
        <v>-1.6188685006395552E-2</v>
      </c>
      <c r="D96" s="8">
        <f>'3.8 Data EUR#USD'!G97/100</f>
        <v>-1.4388498081299925E-2</v>
      </c>
      <c r="E96" s="8">
        <v>4.1880570000000054E-3</v>
      </c>
      <c r="F96" s="8">
        <v>9.9889808999999996E-3</v>
      </c>
      <c r="G96" s="8">
        <v>3.1805967999999997E-2</v>
      </c>
    </row>
    <row r="97" spans="1:7" x14ac:dyDescent="0.2">
      <c r="A97" s="2">
        <v>40025</v>
      </c>
      <c r="B97" s="8">
        <f>'Final Data'!I97</f>
        <v>-2.2579840319361305E-2</v>
      </c>
      <c r="C97" s="8">
        <f>'3.8 Data EUR#USD'!F98/100</f>
        <v>-1.6188685006395552E-2</v>
      </c>
      <c r="D97" s="8">
        <f>'3.8 Data EUR#USD'!G98/100</f>
        <v>-1.4388498081299925E-2</v>
      </c>
      <c r="E97" s="8">
        <v>3.9055879999999998E-3</v>
      </c>
      <c r="F97" s="8">
        <v>1.2698585000000002E-2</v>
      </c>
      <c r="G97" s="8">
        <v>5.3417744999999996E-2</v>
      </c>
    </row>
    <row r="98" spans="1:7" x14ac:dyDescent="0.2">
      <c r="A98" s="2">
        <v>40056</v>
      </c>
      <c r="B98" s="8">
        <f>'Final Data'!I98</f>
        <v>-2.2973835354179019E-3</v>
      </c>
      <c r="C98" s="8">
        <f>'3.8 Data EUR#USD'!F99/100</f>
        <v>-1.6188685006395552E-2</v>
      </c>
      <c r="D98" s="8">
        <f>'3.8 Data EUR#USD'!G99/100</f>
        <v>-1.4388498081299925E-2</v>
      </c>
      <c r="E98" s="8">
        <v>1.9141570000000029E-3</v>
      </c>
      <c r="F98" s="8">
        <v>1.18242587E-2</v>
      </c>
      <c r="G98" s="8">
        <v>3.6541372000000003E-2</v>
      </c>
    </row>
    <row r="99" spans="1:7" x14ac:dyDescent="0.2">
      <c r="A99" s="2">
        <v>40086</v>
      </c>
      <c r="B99" s="8">
        <f>'Final Data'!I99</f>
        <v>-1.9444799795317845E-2</v>
      </c>
      <c r="C99" s="8">
        <f>'3.8 Data EUR#USD'!F100/100</f>
        <v>-1.4994703315080586E-2</v>
      </c>
      <c r="D99" s="8">
        <f>'3.8 Data EUR#USD'!G100/100</f>
        <v>-1.2872148311146527E-2</v>
      </c>
      <c r="E99" s="8">
        <v>3.5791320000000005E-3</v>
      </c>
      <c r="F99" s="8">
        <v>8.2986916000000015E-3</v>
      </c>
      <c r="G99" s="8">
        <v>3.4440198999999998E-2</v>
      </c>
    </row>
    <row r="100" spans="1:7" x14ac:dyDescent="0.2">
      <c r="A100" s="2">
        <v>40117</v>
      </c>
      <c r="B100" s="8">
        <f>'Final Data'!I100</f>
        <v>-4.5662100456622112E-3</v>
      </c>
      <c r="C100" s="8">
        <f>'3.8 Data EUR#USD'!F101/100</f>
        <v>-1.4994703315080586E-2</v>
      </c>
      <c r="D100" s="8">
        <f>'3.8 Data EUR#USD'!G101/100</f>
        <v>-1.2872148311146527E-2</v>
      </c>
      <c r="E100" s="8">
        <v>3.5097010000000005E-3</v>
      </c>
      <c r="F100" s="8">
        <v>-1.3094424999999998E-3</v>
      </c>
      <c r="G100" s="8">
        <v>4.3736964000000003E-2</v>
      </c>
    </row>
    <row r="101" spans="1:7" x14ac:dyDescent="0.2">
      <c r="A101" s="2">
        <v>40147</v>
      </c>
      <c r="B101" s="8">
        <f>'Final Data'!I101</f>
        <v>-1.9921363040629043E-2</v>
      </c>
      <c r="C101" s="8">
        <f>'3.8 Data EUR#USD'!F102/100</f>
        <v>-1.4994703315080586E-2</v>
      </c>
      <c r="D101" s="8">
        <f>'3.8 Data EUR#USD'!G102/100</f>
        <v>-1.2872148311146527E-2</v>
      </c>
      <c r="E101" s="8">
        <v>3.179780000000001E-3</v>
      </c>
      <c r="F101" s="8">
        <v>-1.7515433E-2</v>
      </c>
      <c r="G101" s="8">
        <v>4.1103246999999996E-2</v>
      </c>
    </row>
    <row r="102" spans="1:7" x14ac:dyDescent="0.2">
      <c r="A102" s="2">
        <v>40178</v>
      </c>
      <c r="B102" s="8">
        <f>'Final Data'!I102</f>
        <v>4.1187483284300594E-2</v>
      </c>
      <c r="C102" s="8">
        <f>'3.8 Data EUR#USD'!F103/100</f>
        <v>-1.0898200752311444E-2</v>
      </c>
      <c r="D102" s="8">
        <f>'3.8 Data EUR#USD'!G103/100</f>
        <v>1.0340209494338178E-2</v>
      </c>
      <c r="E102" s="8">
        <v>5.193979999999998E-4</v>
      </c>
      <c r="F102" s="8">
        <v>-2.1956503000000002E-2</v>
      </c>
      <c r="G102" s="8">
        <v>5.0439380999999998E-2</v>
      </c>
    </row>
    <row r="103" spans="1:7" x14ac:dyDescent="0.2">
      <c r="A103" s="2">
        <v>40209</v>
      </c>
      <c r="B103" s="8">
        <f>'Final Data'!I103</f>
        <v>2.0549704597996332E-2</v>
      </c>
      <c r="C103" s="8">
        <f>'3.8 Data EUR#USD'!F104/100</f>
        <v>-1.0898200752311444E-2</v>
      </c>
      <c r="D103" s="8">
        <f>'3.8 Data EUR#USD'!G104/100</f>
        <v>1.0340209494338178E-2</v>
      </c>
      <c r="E103" s="8">
        <v>-6.1480000000000421E-5</v>
      </c>
      <c r="F103" s="8">
        <v>-1.85172316E-2</v>
      </c>
      <c r="G103" s="8">
        <v>3.2680111800000002E-2</v>
      </c>
    </row>
    <row r="104" spans="1:7" x14ac:dyDescent="0.2">
      <c r="A104" s="2">
        <v>40237</v>
      </c>
      <c r="B104" s="8">
        <f>'Final Data'!I104</f>
        <v>1.1326453561540471E-2</v>
      </c>
      <c r="C104" s="8">
        <f>'3.8 Data EUR#USD'!F105/100</f>
        <v>-1.0898200752311444E-2</v>
      </c>
      <c r="D104" s="8">
        <f>'3.8 Data EUR#USD'!G105/100</f>
        <v>1.0340209494338178E-2</v>
      </c>
      <c r="E104" s="8">
        <v>-6.5937000000002577E-5</v>
      </c>
      <c r="F104" s="8">
        <v>-1.4486884000000002E-2</v>
      </c>
      <c r="G104" s="8">
        <v>3.2340885999999999E-2</v>
      </c>
    </row>
    <row r="105" spans="1:7" x14ac:dyDescent="0.2">
      <c r="A105" s="2">
        <v>40268</v>
      </c>
      <c r="B105" s="8">
        <f>'Final Data'!I105</f>
        <v>8.8352414136385476E-3</v>
      </c>
      <c r="C105" s="8">
        <f>'3.8 Data EUR#USD'!F106/100</f>
        <v>1.3049207978825517E-2</v>
      </c>
      <c r="D105" s="8">
        <f>'3.8 Data EUR#USD'!G106/100</f>
        <v>1.4002138278837237E-2</v>
      </c>
      <c r="E105" s="8">
        <v>-1.1550040000000018E-3</v>
      </c>
      <c r="F105" s="8">
        <v>-1.1562354000000002E-2</v>
      </c>
      <c r="G105" s="8">
        <v>3.5471487000000003E-2</v>
      </c>
    </row>
    <row r="106" spans="1:7" x14ac:dyDescent="0.2">
      <c r="A106" s="2">
        <v>40298</v>
      </c>
      <c r="B106" s="8">
        <f>'Final Data'!I106</f>
        <v>9.8680152954238494E-3</v>
      </c>
      <c r="C106" s="8">
        <f>'3.8 Data EUR#USD'!F107/100</f>
        <v>1.3049207978825517E-2</v>
      </c>
      <c r="D106" s="8">
        <f>'3.8 Data EUR#USD'!G107/100</f>
        <v>1.4002138278837237E-2</v>
      </c>
      <c r="E106" s="8">
        <v>-2.1700500000000032E-3</v>
      </c>
      <c r="F106" s="8">
        <v>-8.2599009999999983E-3</v>
      </c>
      <c r="G106" s="8">
        <v>4.9921252999999999E-2</v>
      </c>
    </row>
    <row r="107" spans="1:7" x14ac:dyDescent="0.2">
      <c r="A107" s="2">
        <v>40329</v>
      </c>
      <c r="B107" s="8">
        <f>'Final Data'!I107</f>
        <v>5.7652375717601061E-2</v>
      </c>
      <c r="C107" s="8">
        <f>'3.8 Data EUR#USD'!F108/100</f>
        <v>1.3049207978825517E-2</v>
      </c>
      <c r="D107" s="8">
        <f>'3.8 Data EUR#USD'!G108/100</f>
        <v>1.4002138278837237E-2</v>
      </c>
      <c r="E107" s="8">
        <v>2.0932200000000289E-4</v>
      </c>
      <c r="F107" s="8">
        <v>-5.8955580000000004E-3</v>
      </c>
      <c r="G107" s="8">
        <v>3.3635715400000002E-2</v>
      </c>
    </row>
    <row r="108" spans="1:7" x14ac:dyDescent="0.2">
      <c r="A108" s="2">
        <v>40359</v>
      </c>
      <c r="B108" s="8">
        <f>'Final Data'!I108</f>
        <v>-6.5827462755515343E-3</v>
      </c>
      <c r="C108" s="8">
        <f>'3.8 Data EUR#USD'!F109/100</f>
        <v>1.470030542194797E-2</v>
      </c>
      <c r="D108" s="8">
        <f>'3.8 Data EUR#USD'!G109/100</f>
        <v>1.575888565540369E-2</v>
      </c>
      <c r="E108" s="8">
        <v>2.770528000000003E-3</v>
      </c>
      <c r="F108" s="8">
        <v>9.2456300000000042E-4</v>
      </c>
      <c r="G108" s="8">
        <v>3.8191500000000003E-2</v>
      </c>
    </row>
    <row r="109" spans="1:7" x14ac:dyDescent="0.2">
      <c r="A109" s="2">
        <v>40390</v>
      </c>
      <c r="B109" s="8">
        <f>'Final Data'!I109</f>
        <v>-5.2080911415949664E-2</v>
      </c>
      <c r="C109" s="8">
        <f>'3.8 Data EUR#USD'!F110/100</f>
        <v>1.470030542194797E-2</v>
      </c>
      <c r="D109" s="8">
        <f>'3.8 Data EUR#USD'!G110/100</f>
        <v>1.575888565540369E-2</v>
      </c>
      <c r="E109" s="8">
        <v>4.3070959999999972E-3</v>
      </c>
      <c r="F109" s="8">
        <v>1.5042070000000018E-3</v>
      </c>
      <c r="G109" s="8">
        <v>4.7584473000000002E-2</v>
      </c>
    </row>
    <row r="110" spans="1:7" x14ac:dyDescent="0.2">
      <c r="A110" s="2">
        <v>40421</v>
      </c>
      <c r="B110" s="8">
        <f>'Final Data'!I110</f>
        <v>2.0358106450821638E-2</v>
      </c>
      <c r="C110" s="8">
        <f>'3.8 Data EUR#USD'!F111/100</f>
        <v>1.470030542194797E-2</v>
      </c>
      <c r="D110" s="8">
        <f>'3.8 Data EUR#USD'!G111/100</f>
        <v>1.575888565540369E-2</v>
      </c>
      <c r="E110" s="8">
        <v>4.5568080000000007E-3</v>
      </c>
      <c r="F110" s="8">
        <v>1.7879949999999999E-3</v>
      </c>
      <c r="G110" s="8">
        <v>3.9169661500000001E-2</v>
      </c>
    </row>
    <row r="111" spans="1:7" x14ac:dyDescent="0.2">
      <c r="A111" s="2">
        <v>40451</v>
      </c>
      <c r="B111" s="8">
        <f>'Final Data'!I111</f>
        <v>-5.3846153846153891E-2</v>
      </c>
      <c r="C111" s="8">
        <f>'3.8 Data EUR#USD'!F112/100</f>
        <v>1.4836765938189762E-2</v>
      </c>
      <c r="D111" s="8">
        <f>'3.8 Data EUR#USD'!G112/100</f>
        <v>1.6316868882601167E-2</v>
      </c>
      <c r="E111" s="8">
        <v>5.5721359999999984E-3</v>
      </c>
      <c r="F111" s="8">
        <v>4.5536200000000004E-3</v>
      </c>
      <c r="G111" s="8">
        <v>4.4345361999999999E-2</v>
      </c>
    </row>
    <row r="112" spans="1:7" x14ac:dyDescent="0.2">
      <c r="A112" s="2">
        <v>40482</v>
      </c>
      <c r="B112" s="8">
        <f>'Final Data'!I112</f>
        <v>-1.8419715447154508E-2</v>
      </c>
      <c r="C112" s="8">
        <f>'3.8 Data EUR#USD'!F113/100</f>
        <v>1.4836765938189762E-2</v>
      </c>
      <c r="D112" s="8">
        <f>'3.8 Data EUR#USD'!G113/100</f>
        <v>1.6316868882601167E-2</v>
      </c>
      <c r="E112" s="8">
        <v>7.059297E-3</v>
      </c>
      <c r="F112" s="8">
        <v>5.0546390000000005E-3</v>
      </c>
      <c r="G112" s="8">
        <v>4.5084231000000002E-2</v>
      </c>
    </row>
    <row r="113" spans="1:7" x14ac:dyDescent="0.2">
      <c r="A113" s="2">
        <v>40512</v>
      </c>
      <c r="B113" s="8">
        <f>'Final Data'!I113</f>
        <v>5.0731202277727476E-2</v>
      </c>
      <c r="C113" s="8">
        <f>'3.8 Data EUR#USD'!F114/100</f>
        <v>1.4836765938189762E-2</v>
      </c>
      <c r="D113" s="8">
        <f>'3.8 Data EUR#USD'!G114/100</f>
        <v>1.6316868882601167E-2</v>
      </c>
      <c r="E113" s="8">
        <v>8.2667380000000009E-3</v>
      </c>
      <c r="F113" s="8">
        <v>5.6894759999999997E-3</v>
      </c>
      <c r="G113" s="8">
        <v>3.5677007500000003E-2</v>
      </c>
    </row>
    <row r="114" spans="1:7" x14ac:dyDescent="0.2">
      <c r="A114" s="2">
        <v>40543</v>
      </c>
      <c r="B114" s="8">
        <f>'Final Data'!I114</f>
        <v>-2.6604261608572443E-2</v>
      </c>
      <c r="C114" s="8">
        <f>'3.8 Data EUR#USD'!F115/100</f>
        <v>1.5067908836118367E-2</v>
      </c>
      <c r="D114" s="8">
        <f>'3.8 Data EUR#USD'!G115/100</f>
        <v>1.5571935213835082E-2</v>
      </c>
      <c r="E114" s="8">
        <v>6.8252839999999983E-3</v>
      </c>
      <c r="F114" s="8">
        <v>5.227462999999999E-3</v>
      </c>
      <c r="G114" s="8">
        <v>3.7039142000000004E-2</v>
      </c>
    </row>
    <row r="115" spans="1:7" x14ac:dyDescent="0.2">
      <c r="A115" s="2">
        <v>40574</v>
      </c>
      <c r="B115" s="8">
        <f>'Final Data'!I115</f>
        <v>-1.6449449576110303E-2</v>
      </c>
      <c r="C115" s="8">
        <f>'3.8 Data EUR#USD'!F116/100</f>
        <v>1.5067908836118367E-2</v>
      </c>
      <c r="D115" s="8">
        <f>'3.8 Data EUR#USD'!G116/100</f>
        <v>1.5571935213835082E-2</v>
      </c>
      <c r="E115" s="8">
        <v>6.8958699999999949E-3</v>
      </c>
      <c r="F115" s="8">
        <v>4.0764040000000005E-3</v>
      </c>
      <c r="G115" s="8">
        <v>3.5332774599999998E-2</v>
      </c>
    </row>
    <row r="116" spans="1:7" x14ac:dyDescent="0.2">
      <c r="A116" s="2">
        <v>40602</v>
      </c>
      <c r="B116" s="8">
        <f>'Final Data'!I116</f>
        <v>-1.0806638363566235E-2</v>
      </c>
      <c r="C116" s="8">
        <f>'3.8 Data EUR#USD'!F117/100</f>
        <v>1.5067908836118367E-2</v>
      </c>
      <c r="D116" s="8">
        <f>'3.8 Data EUR#USD'!G117/100</f>
        <v>1.5571935213835082E-2</v>
      </c>
      <c r="E116" s="8">
        <v>6.0423090000000009E-3</v>
      </c>
      <c r="F116" s="8">
        <v>1.7008210000000012E-3</v>
      </c>
      <c r="G116" s="8">
        <v>3.4317792700000002E-2</v>
      </c>
    </row>
    <row r="117" spans="1:7" x14ac:dyDescent="0.2">
      <c r="A117" s="2">
        <v>40633</v>
      </c>
      <c r="B117" s="8">
        <f>'Final Data'!I117</f>
        <v>-1.3395760176876071E-2</v>
      </c>
      <c r="C117" s="8">
        <f>'3.8 Data EUR#USD'!F118/100</f>
        <v>1.5853081496089584E-2</v>
      </c>
      <c r="D117" s="8">
        <f>'3.8 Data EUR#USD'!G118/100</f>
        <v>1.4482821829050117E-2</v>
      </c>
      <c r="E117" s="8">
        <v>8.3276750000000049E-3</v>
      </c>
      <c r="F117" s="8">
        <v>-1.6976570000000013E-3</v>
      </c>
      <c r="G117" s="8">
        <v>3.9861944999999996E-2</v>
      </c>
    </row>
    <row r="118" spans="1:7" x14ac:dyDescent="0.2">
      <c r="A118" s="2">
        <v>40663</v>
      </c>
      <c r="B118" s="8">
        <f>'Final Data'!I118</f>
        <v>-3.8623780648563047E-2</v>
      </c>
      <c r="C118" s="8">
        <f>'3.8 Data EUR#USD'!F119/100</f>
        <v>1.5853081496089584E-2</v>
      </c>
      <c r="D118" s="8">
        <f>'3.8 Data EUR#USD'!G119/100</f>
        <v>1.4482821829050117E-2</v>
      </c>
      <c r="E118" s="8">
        <v>9.1074169999999996E-3</v>
      </c>
      <c r="F118" s="8">
        <v>-5.0128860000000011E-3</v>
      </c>
      <c r="G118" s="8">
        <v>3.7055142999999999E-2</v>
      </c>
    </row>
    <row r="119" spans="1:7" x14ac:dyDescent="0.2">
      <c r="A119" s="2">
        <v>40694</v>
      </c>
      <c r="B119" s="8">
        <f>'Final Data'!I119</f>
        <v>2.344714109419983E-2</v>
      </c>
      <c r="C119" s="8">
        <f>'3.8 Data EUR#USD'!F120/100</f>
        <v>1.5853081496089584E-2</v>
      </c>
      <c r="D119" s="8">
        <f>'3.8 Data EUR#USD'!G120/100</f>
        <v>1.4482821829050117E-2</v>
      </c>
      <c r="E119" s="8">
        <v>1.0689580000000002E-2</v>
      </c>
      <c r="F119" s="8">
        <v>-9.1807909999999989E-3</v>
      </c>
      <c r="G119" s="8">
        <v>3.4590885199999998E-2</v>
      </c>
    </row>
    <row r="120" spans="1:7" x14ac:dyDescent="0.2">
      <c r="A120" s="2">
        <v>40724</v>
      </c>
      <c r="B120" s="8">
        <f>'Final Data'!I120</f>
        <v>-4.5551982851018673E-3</v>
      </c>
      <c r="C120" s="8">
        <f>'3.8 Data EUR#USD'!F121/100</f>
        <v>1.4457445586784294E-2</v>
      </c>
      <c r="D120" s="8">
        <f>'3.8 Data EUR#USD'!G121/100</f>
        <v>1.3999492838770757E-2</v>
      </c>
      <c r="E120" s="8">
        <v>1.2509527999999999E-2</v>
      </c>
      <c r="F120" s="8">
        <v>-9.9025299999999997E-3</v>
      </c>
      <c r="G120" s="8">
        <v>4.2195237999999996E-2</v>
      </c>
    </row>
    <row r="121" spans="1:7" x14ac:dyDescent="0.2">
      <c r="A121" s="2">
        <v>40755</v>
      </c>
      <c r="B121" s="8">
        <f>'Final Data'!I121</f>
        <v>-5.3835800807535868E-3</v>
      </c>
      <c r="C121" s="8">
        <f>'3.8 Data EUR#USD'!F122/100</f>
        <v>1.4457445586784294E-2</v>
      </c>
      <c r="D121" s="8">
        <f>'3.8 Data EUR#USD'!G122/100</f>
        <v>1.3999492838770757E-2</v>
      </c>
      <c r="E121" s="8">
        <v>1.4093274999999999E-2</v>
      </c>
      <c r="F121" s="8">
        <v>-9.6195959999999976E-3</v>
      </c>
      <c r="G121" s="8">
        <v>4.2548142000000004E-2</v>
      </c>
    </row>
    <row r="122" spans="1:7" x14ac:dyDescent="0.2">
      <c r="A122" s="2">
        <v>40786</v>
      </c>
      <c r="B122" s="8">
        <f>'Final Data'!I122</f>
        <v>2.9769959404600654E-3</v>
      </c>
      <c r="C122" s="8">
        <f>'3.8 Data EUR#USD'!F123/100</f>
        <v>1.4457445586784294E-2</v>
      </c>
      <c r="D122" s="8">
        <f>'3.8 Data EUR#USD'!G123/100</f>
        <v>1.3999492838770757E-2</v>
      </c>
      <c r="E122" s="8">
        <v>1.5722389000000003E-2</v>
      </c>
      <c r="F122" s="8">
        <v>-1.1186393999999997E-2</v>
      </c>
      <c r="G122" s="8">
        <v>4.2283253999999999E-2</v>
      </c>
    </row>
    <row r="123" spans="1:7" x14ac:dyDescent="0.2">
      <c r="A123" s="2">
        <v>40816</v>
      </c>
      <c r="B123" s="8">
        <f>'Final Data'!I123</f>
        <v>5.9767943874797523E-2</v>
      </c>
      <c r="C123" s="8">
        <f>'3.8 Data EUR#USD'!F124/100</f>
        <v>1.3744977647842748E-2</v>
      </c>
      <c r="D123" s="8">
        <f>'3.8 Data EUR#USD'!G124/100</f>
        <v>1.2477619558515134E-2</v>
      </c>
      <c r="E123" s="8">
        <v>1.6911072999999999E-2</v>
      </c>
      <c r="F123" s="8">
        <v>-1.0311313000000003E-2</v>
      </c>
      <c r="G123" s="8">
        <v>4.9060503999999998E-2</v>
      </c>
    </row>
    <row r="124" spans="1:7" x14ac:dyDescent="0.2">
      <c r="A124" s="2">
        <v>40847</v>
      </c>
      <c r="B124" s="8">
        <f>'Final Data'!I124</f>
        <v>-3.0299172501591285E-2</v>
      </c>
      <c r="C124" s="8">
        <f>'3.8 Data EUR#USD'!F125/100</f>
        <v>1.3744977647842748E-2</v>
      </c>
      <c r="D124" s="8">
        <f>'3.8 Data EUR#USD'!G125/100</f>
        <v>1.2477619558515134E-2</v>
      </c>
      <c r="E124" s="8">
        <v>1.7229827000000003E-2</v>
      </c>
      <c r="F124" s="8">
        <v>-7.1272529999999975E-3</v>
      </c>
      <c r="G124" s="8">
        <v>4.5987214999999998E-2</v>
      </c>
    </row>
    <row r="125" spans="1:7" x14ac:dyDescent="0.2">
      <c r="A125" s="2">
        <v>40877</v>
      </c>
      <c r="B125" s="8">
        <f>'Final Data'!I125</f>
        <v>2.9014047525272334E-2</v>
      </c>
      <c r="C125" s="8">
        <f>'3.8 Data EUR#USD'!F126/100</f>
        <v>1.3744977647842748E-2</v>
      </c>
      <c r="D125" s="8">
        <f>'3.8 Data EUR#USD'!G126/100</f>
        <v>1.2477619558515134E-2</v>
      </c>
      <c r="E125" s="8">
        <v>2.1886308E-2</v>
      </c>
      <c r="F125" s="8">
        <v>-6.3489439999999987E-3</v>
      </c>
      <c r="G125" s="8">
        <v>4.6474080000000001E-2</v>
      </c>
    </row>
    <row r="126" spans="1:7" x14ac:dyDescent="0.2">
      <c r="A126" s="2">
        <v>40908</v>
      </c>
      <c r="B126" s="8">
        <f>'Final Data'!I126</f>
        <v>2.2965042102577334E-2</v>
      </c>
      <c r="C126" s="8">
        <f>'3.8 Data EUR#USD'!F127/100</f>
        <v>1.1911815583514247E-2</v>
      </c>
      <c r="D126" s="8">
        <f>'3.8 Data EUR#USD'!G127/100</f>
        <v>1.3649591869257151E-2</v>
      </c>
      <c r="E126" s="8">
        <v>2.0884931000000006E-2</v>
      </c>
      <c r="F126" s="8">
        <v>-5.2694650000000018E-3</v>
      </c>
      <c r="G126" s="8">
        <v>4.9206400000000004E-2</v>
      </c>
    </row>
    <row r="127" spans="1:7" x14ac:dyDescent="0.2">
      <c r="A127" s="2">
        <v>40939</v>
      </c>
      <c r="B127" s="8">
        <f>'Final Data'!I127</f>
        <v>-1.1100024943876284E-2</v>
      </c>
      <c r="C127" s="8">
        <f>'3.8 Data EUR#USD'!F128/100</f>
        <v>1.1911815583514247E-2</v>
      </c>
      <c r="D127" s="8">
        <f>'3.8 Data EUR#USD'!G128/100</f>
        <v>1.3649591869257151E-2</v>
      </c>
      <c r="E127" s="8">
        <v>1.9736884E-2</v>
      </c>
      <c r="F127" s="8">
        <v>-5.362208000000002E-3</v>
      </c>
      <c r="G127" s="8">
        <v>4.1735938E-2</v>
      </c>
    </row>
    <row r="128" spans="1:7" x14ac:dyDescent="0.2">
      <c r="A128" s="2">
        <v>40968</v>
      </c>
      <c r="B128" s="8">
        <f>'Final Data'!I128</f>
        <v>-6.9365619876404503E-3</v>
      </c>
      <c r="C128" s="8">
        <f>'3.8 Data EUR#USD'!F129/100</f>
        <v>1.1911815583514247E-2</v>
      </c>
      <c r="D128" s="8">
        <f>'3.8 Data EUR#USD'!G129/100</f>
        <v>1.3649591869257151E-2</v>
      </c>
      <c r="E128" s="8">
        <v>1.6868982999999997E-2</v>
      </c>
      <c r="F128" s="8">
        <v>-3.615472999999998E-3</v>
      </c>
      <c r="G128" s="8">
        <v>3.7489076999999996E-2</v>
      </c>
    </row>
    <row r="129" spans="1:7" x14ac:dyDescent="0.2">
      <c r="A129" s="2">
        <v>40999</v>
      </c>
      <c r="B129" s="8">
        <f>'Final Data'!I129</f>
        <v>3.3020066040132731E-3</v>
      </c>
      <c r="C129" s="8">
        <f>'3.8 Data EUR#USD'!F130/100</f>
        <v>7.7993928959870819E-3</v>
      </c>
      <c r="D129" s="8">
        <f>'3.8 Data EUR#USD'!G130/100</f>
        <v>1.5380004407909754E-2</v>
      </c>
      <c r="E129" s="8">
        <v>1.3980556000000002E-2</v>
      </c>
      <c r="F129" s="8">
        <v>-1.138347000000004E-3</v>
      </c>
      <c r="G129" s="8">
        <v>4.7659635999999998E-2</v>
      </c>
    </row>
    <row r="130" spans="1:7" x14ac:dyDescent="0.2">
      <c r="A130" s="2">
        <v>41029</v>
      </c>
      <c r="B130" s="8">
        <f>'Final Data'!I130</f>
        <v>-2.7848101265822642E-3</v>
      </c>
      <c r="C130" s="8">
        <f>'3.8 Data EUR#USD'!F131/100</f>
        <v>7.7993928959870819E-3</v>
      </c>
      <c r="D130" s="8">
        <f>'3.8 Data EUR#USD'!G131/100</f>
        <v>1.5380004407909754E-2</v>
      </c>
      <c r="E130" s="8">
        <v>1.6071972000000004E-2</v>
      </c>
      <c r="F130" s="8">
        <v>7.4818099999999891E-4</v>
      </c>
      <c r="G130" s="8">
        <v>4.2738477000000004E-2</v>
      </c>
    </row>
    <row r="131" spans="1:7" x14ac:dyDescent="0.2">
      <c r="A131" s="2">
        <v>41060</v>
      </c>
      <c r="B131" s="8">
        <f>'Final Data'!I131</f>
        <v>5.407463823305414E-2</v>
      </c>
      <c r="C131" s="8">
        <f>'3.8 Data EUR#USD'!F132/100</f>
        <v>7.7993928959870819E-3</v>
      </c>
      <c r="D131" s="8">
        <f>'3.8 Data EUR#USD'!G132/100</f>
        <v>1.5380004407909754E-2</v>
      </c>
      <c r="E131" s="8">
        <v>1.7283392999999998E-2</v>
      </c>
      <c r="F131" s="8">
        <v>4.333949000000001E-3</v>
      </c>
      <c r="G131" s="8">
        <v>4.6026663000000002E-2</v>
      </c>
    </row>
    <row r="132" spans="1:7" x14ac:dyDescent="0.2">
      <c r="A132" s="2">
        <v>41090</v>
      </c>
      <c r="B132" s="8">
        <f>'Final Data'!I132</f>
        <v>-1.6979768786127298E-2</v>
      </c>
      <c r="C132" s="8">
        <f>'3.8 Data EUR#USD'!F133/100</f>
        <v>5.2965272135276267E-3</v>
      </c>
      <c r="D132" s="8">
        <f>'3.8 Data EUR#USD'!G133/100</f>
        <v>1.5041879262637553E-2</v>
      </c>
      <c r="E132" s="8">
        <v>1.9032759E-2</v>
      </c>
      <c r="F132" s="8">
        <v>5.2857869999999975E-3</v>
      </c>
      <c r="G132" s="8">
        <v>6.0936269999999994E-2</v>
      </c>
    </row>
    <row r="133" spans="1:7" x14ac:dyDescent="0.2">
      <c r="A133" s="2">
        <v>41121</v>
      </c>
      <c r="B133" s="8">
        <f>'Final Data'!I133</f>
        <v>1.2372902119318942E-2</v>
      </c>
      <c r="C133" s="8">
        <f>'3.8 Data EUR#USD'!F134/100</f>
        <v>5.2965272135276267E-3</v>
      </c>
      <c r="D133" s="8">
        <f>'3.8 Data EUR#USD'!G134/100</f>
        <v>1.5041879262637553E-2</v>
      </c>
      <c r="E133" s="8">
        <v>1.8629522999999999E-2</v>
      </c>
      <c r="F133" s="8">
        <v>7.7506140000000003E-3</v>
      </c>
      <c r="G133" s="8">
        <v>5.7004673999999998E-2</v>
      </c>
    </row>
    <row r="134" spans="1:7" x14ac:dyDescent="0.2">
      <c r="A134" s="2">
        <v>41152</v>
      </c>
      <c r="B134" s="8">
        <f>'Final Data'!I134</f>
        <v>-1.7303969022265331E-2</v>
      </c>
      <c r="C134" s="8">
        <f>'3.8 Data EUR#USD'!F135/100</f>
        <v>5.2965272135276267E-3</v>
      </c>
      <c r="D134" s="8">
        <f>'3.8 Data EUR#USD'!G135/100</f>
        <v>1.5041879262637553E-2</v>
      </c>
      <c r="E134" s="8">
        <v>1.6126299E-2</v>
      </c>
      <c r="F134" s="8">
        <v>7.0000969999999985E-3</v>
      </c>
      <c r="G134" s="8">
        <v>5.2384515E-2</v>
      </c>
    </row>
    <row r="135" spans="1:7" x14ac:dyDescent="0.2">
      <c r="A135" s="2">
        <v>41182</v>
      </c>
      <c r="B135" s="8">
        <f>'Final Data'!I135</f>
        <v>-1.5638468168944663E-2</v>
      </c>
      <c r="C135" s="8">
        <f>'3.8 Data EUR#USD'!F136/100</f>
        <v>-2.7064136508161436E-3</v>
      </c>
      <c r="D135" s="8">
        <f>'3.8 Data EUR#USD'!G136/100</f>
        <v>1.5288797244473629E-2</v>
      </c>
      <c r="E135" s="8">
        <v>1.4315858000000001E-2</v>
      </c>
      <c r="F135" s="8">
        <v>4.8182729999999997E-3</v>
      </c>
      <c r="G135" s="8">
        <v>4.9545138000000002E-2</v>
      </c>
    </row>
    <row r="136" spans="1:7" x14ac:dyDescent="0.2">
      <c r="A136" s="2">
        <v>41213</v>
      </c>
      <c r="B136" s="8">
        <f>'Final Data'!I136</f>
        <v>-2.5018764073049814E-4</v>
      </c>
      <c r="C136" s="8">
        <f>'3.8 Data EUR#USD'!F137/100</f>
        <v>-2.7064136508161436E-3</v>
      </c>
      <c r="D136" s="8">
        <f>'3.8 Data EUR#USD'!G137/100</f>
        <v>1.5288797244473629E-2</v>
      </c>
      <c r="E136" s="8">
        <v>1.2884716000000001E-2</v>
      </c>
      <c r="F136" s="8">
        <v>1.9287080000000012E-3</v>
      </c>
      <c r="G136" s="8">
        <v>5.1360664E-2</v>
      </c>
    </row>
    <row r="137" spans="1:7" x14ac:dyDescent="0.2">
      <c r="A137" s="2">
        <v>41243</v>
      </c>
      <c r="B137" s="8">
        <f>'Final Data'!I137</f>
        <v>2.8778778778779275E-3</v>
      </c>
      <c r="C137" s="8">
        <f>'3.8 Data EUR#USD'!F138/100</f>
        <v>-2.7064136508161436E-3</v>
      </c>
      <c r="D137" s="8">
        <f>'3.8 Data EUR#USD'!G138/100</f>
        <v>1.5288797244473629E-2</v>
      </c>
      <c r="E137" s="8">
        <v>1.2863253999999998E-2</v>
      </c>
      <c r="F137" s="8">
        <v>2.667774000000003E-3</v>
      </c>
      <c r="G137" s="8">
        <v>5.1970414999999992E-2</v>
      </c>
    </row>
    <row r="138" spans="1:7" x14ac:dyDescent="0.2">
      <c r="A138" s="2">
        <v>41274</v>
      </c>
      <c r="B138" s="8">
        <f>'Final Data'!I138</f>
        <v>-4.7411104179664338E-3</v>
      </c>
      <c r="C138" s="8">
        <f>'3.8 Data EUR#USD'!F139/100</f>
        <v>-5.1115539663883379E-3</v>
      </c>
      <c r="D138" s="8">
        <f>'3.8 Data EUR#USD'!G139/100</f>
        <v>1.3665287652515765E-2</v>
      </c>
      <c r="E138" s="8">
        <v>1.0564757000000001E-2</v>
      </c>
      <c r="F138" s="8">
        <v>3.2276709999999988E-3</v>
      </c>
      <c r="G138" s="8">
        <v>5.2284444999999999E-2</v>
      </c>
    </row>
    <row r="139" spans="1:7" x14ac:dyDescent="0.2">
      <c r="A139" s="2">
        <v>41305</v>
      </c>
      <c r="B139" s="8">
        <f>'Final Data'!I139</f>
        <v>-7.0201830262003545E-3</v>
      </c>
      <c r="C139" s="8">
        <f>'3.8 Data EUR#USD'!F140/100</f>
        <v>-5.1115539663883379E-3</v>
      </c>
      <c r="D139" s="8">
        <f>'3.8 Data EUR#USD'!G140/100</f>
        <v>1.3665287652515765E-2</v>
      </c>
      <c r="E139" s="8">
        <v>8.6678789999999999E-3</v>
      </c>
      <c r="F139" s="8">
        <v>2.1488820000000008E-3</v>
      </c>
      <c r="G139" s="8">
        <v>4.0909501000000008E-2</v>
      </c>
    </row>
    <row r="140" spans="1:7" x14ac:dyDescent="0.2">
      <c r="A140" s="2">
        <v>41333</v>
      </c>
      <c r="B140" s="8">
        <f>'Final Data'!I140</f>
        <v>3.4591591970710885E-2</v>
      </c>
      <c r="C140" s="8">
        <f>'3.8 Data EUR#USD'!F141/100</f>
        <v>-5.1115539663883379E-3</v>
      </c>
      <c r="D140" s="8">
        <f>'3.8 Data EUR#USD'!G141/100</f>
        <v>1.3665287652515765E-2</v>
      </c>
      <c r="E140" s="8">
        <v>8.7752159999999989E-3</v>
      </c>
      <c r="F140" s="8">
        <v>-2.4966629999999988E-3</v>
      </c>
      <c r="G140" s="8">
        <v>4.5294123000000006E-2</v>
      </c>
    </row>
    <row r="141" spans="1:7" x14ac:dyDescent="0.2">
      <c r="A141" s="2">
        <v>41364</v>
      </c>
      <c r="B141" s="8">
        <f>'Final Data'!I141</f>
        <v>1.549725442342887E-2</v>
      </c>
      <c r="C141" s="8">
        <f>'3.8 Data EUR#USD'!F142/100</f>
        <v>-5.9952165578306439E-3</v>
      </c>
      <c r="D141" s="8">
        <f>'3.8 Data EUR#USD'!G142/100</f>
        <v>1.39262929005061E-2</v>
      </c>
      <c r="E141" s="8">
        <v>7.802965999999998E-3</v>
      </c>
      <c r="F141" s="8">
        <v>-1.2152500000000011E-4</v>
      </c>
      <c r="G141" s="8">
        <v>5.8503977000000006E-2</v>
      </c>
    </row>
    <row r="142" spans="1:7" x14ac:dyDescent="0.2">
      <c r="A142" s="2">
        <v>41394</v>
      </c>
      <c r="B142" s="8">
        <f>'Final Data'!I142</f>
        <v>-1.7664023071377058E-2</v>
      </c>
      <c r="C142" s="8">
        <f>'3.8 Data EUR#USD'!F143/100</f>
        <v>-5.9952165578306439E-3</v>
      </c>
      <c r="D142" s="8">
        <f>'3.8 Data EUR#USD'!G143/100</f>
        <v>1.39262929005061E-2</v>
      </c>
      <c r="E142" s="8">
        <v>7.8568540000000017E-3</v>
      </c>
      <c r="F142" s="8">
        <v>9.5745500000000039E-4</v>
      </c>
      <c r="G142" s="8">
        <v>4.9091152999999998E-2</v>
      </c>
    </row>
    <row r="143" spans="1:7" x14ac:dyDescent="0.2">
      <c r="A143" s="2">
        <v>41425</v>
      </c>
      <c r="B143" s="8">
        <f>'Final Data'!I143</f>
        <v>1.847094801223248E-2</v>
      </c>
      <c r="C143" s="8">
        <f>'3.8 Data EUR#USD'!F144/100</f>
        <v>-5.9952165578306439E-3</v>
      </c>
      <c r="D143" s="8">
        <f>'3.8 Data EUR#USD'!G144/100</f>
        <v>1.39262929005061E-2</v>
      </c>
      <c r="E143" s="8">
        <v>5.2310470000000017E-3</v>
      </c>
      <c r="F143" s="8">
        <v>8.1915899999999823E-4</v>
      </c>
      <c r="G143" s="8">
        <v>4.6696056000000007E-2</v>
      </c>
    </row>
    <row r="144" spans="1:7" x14ac:dyDescent="0.2">
      <c r="A144" s="2">
        <v>41455</v>
      </c>
      <c r="B144" s="8">
        <f>'Final Data'!I144</f>
        <v>-1.4412683161182385E-3</v>
      </c>
      <c r="C144" s="8">
        <f>'3.8 Data EUR#USD'!F145/100</f>
        <v>9.1311602164056063E-3</v>
      </c>
      <c r="D144" s="8">
        <f>'3.8 Data EUR#USD'!G145/100</f>
        <v>1.3608069209377316E-2</v>
      </c>
      <c r="E144" s="8">
        <v>4.944633999999999E-3</v>
      </c>
      <c r="F144" s="8">
        <v>-8.2511100000000055E-4</v>
      </c>
      <c r="G144" s="8">
        <v>5.3391421000000001E-2</v>
      </c>
    </row>
    <row r="145" spans="1:7" x14ac:dyDescent="0.2">
      <c r="A145" s="2">
        <v>41486</v>
      </c>
      <c r="B145" s="8">
        <f>'Final Data'!I145</f>
        <v>-2.0327159008900621E-2</v>
      </c>
      <c r="C145" s="8">
        <f>'3.8 Data EUR#USD'!F146/100</f>
        <v>9.1311602164056063E-3</v>
      </c>
      <c r="D145" s="8">
        <f>'3.8 Data EUR#USD'!G146/100</f>
        <v>1.3608069209377316E-2</v>
      </c>
      <c r="E145" s="8">
        <v>2.6192980000000034E-3</v>
      </c>
      <c r="F145" s="8">
        <v>-2.5348379999999993E-3</v>
      </c>
      <c r="G145" s="8">
        <v>5.2829882000000002E-2</v>
      </c>
    </row>
    <row r="146" spans="1:7" x14ac:dyDescent="0.2">
      <c r="A146" s="2">
        <v>41517</v>
      </c>
      <c r="B146" s="8">
        <f>'Final Data'!I146</f>
        <v>7.857581338244329E-3</v>
      </c>
      <c r="C146" s="8">
        <f>'3.8 Data EUR#USD'!F147/100</f>
        <v>9.1311602164056063E-3</v>
      </c>
      <c r="D146" s="8">
        <f>'3.8 Data EUR#USD'!G147/100</f>
        <v>1.3608069209377316E-2</v>
      </c>
      <c r="E146" s="8">
        <v>1.7878099999999986E-3</v>
      </c>
      <c r="F146" s="8">
        <v>-1.9783150000000018E-3</v>
      </c>
      <c r="G146" s="8">
        <v>5.4364245000000005E-2</v>
      </c>
    </row>
    <row r="147" spans="1:7" x14ac:dyDescent="0.2">
      <c r="A147" s="2">
        <v>41547</v>
      </c>
      <c r="B147" s="8">
        <f>'Final Data'!I147</f>
        <v>-2.2779875746132348E-2</v>
      </c>
      <c r="C147" s="8">
        <f>'3.8 Data EUR#USD'!F148/100</f>
        <v>1.0643372926028648E-2</v>
      </c>
      <c r="D147" s="8">
        <f>'3.8 Data EUR#USD'!G148/100</f>
        <v>1.4792742058515648E-2</v>
      </c>
      <c r="E147" s="8">
        <v>2.0184900000000017E-3</v>
      </c>
      <c r="F147" s="8">
        <v>3.2821999999999016E-5</v>
      </c>
      <c r="G147" s="8">
        <v>5.1817250000000002E-2</v>
      </c>
    </row>
    <row r="148" spans="1:7" x14ac:dyDescent="0.2">
      <c r="A148" s="2">
        <v>41578</v>
      </c>
      <c r="B148" s="8">
        <f>'Final Data'!I148</f>
        <v>-3.7397157816007403E-4</v>
      </c>
      <c r="C148" s="8">
        <f>'3.8 Data EUR#USD'!F149/100</f>
        <v>1.0643372926028648E-2</v>
      </c>
      <c r="D148" s="8">
        <f>'3.8 Data EUR#USD'!G149/100</f>
        <v>1.4792742058515648E-2</v>
      </c>
      <c r="E148" s="8">
        <v>2.374209999999999E-3</v>
      </c>
      <c r="F148" s="8">
        <v>-1.1096919999999998E-3</v>
      </c>
      <c r="G148" s="8">
        <v>5.1564815999999992E-2</v>
      </c>
    </row>
    <row r="149" spans="1:7" x14ac:dyDescent="0.2">
      <c r="A149" s="2">
        <v>41608</v>
      </c>
      <c r="B149" s="8">
        <f>'Final Data'!I149</f>
        <v>6.1104875919691867E-3</v>
      </c>
      <c r="C149" s="8">
        <f>'3.8 Data EUR#USD'!F150/100</f>
        <v>1.0643372926028648E-2</v>
      </c>
      <c r="D149" s="8">
        <f>'3.8 Data EUR#USD'!G150/100</f>
        <v>1.4792742058515648E-2</v>
      </c>
      <c r="E149" s="8">
        <v>2.1545000000000147E-4</v>
      </c>
      <c r="F149" s="8">
        <v>-3.0929400000000006E-3</v>
      </c>
      <c r="G149" s="8">
        <v>5.4561656E-2</v>
      </c>
    </row>
    <row r="150" spans="1:7" x14ac:dyDescent="0.2">
      <c r="A150" s="2">
        <v>41639</v>
      </c>
      <c r="B150" s="8">
        <f>'Final Data'!I150</f>
        <v>-8.0565195835399801E-3</v>
      </c>
      <c r="C150" s="8">
        <f>'3.8 Data EUR#USD'!F151/100</f>
        <v>1.2254607956861565E-2</v>
      </c>
      <c r="D150" s="8">
        <f>'3.8 Data EUR#USD'!G151/100</f>
        <v>1.588610272560553E-2</v>
      </c>
      <c r="E150" s="8">
        <v>-9.5182499999999946E-4</v>
      </c>
      <c r="F150" s="8">
        <v>-5.2853639999999999E-3</v>
      </c>
      <c r="G150" s="8">
        <v>5.1673284000000007E-2</v>
      </c>
    </row>
    <row r="151" spans="1:7" x14ac:dyDescent="0.2">
      <c r="A151" s="2">
        <v>41670</v>
      </c>
      <c r="B151" s="8">
        <f>'Final Data'!I151</f>
        <v>1.5994002249156581E-2</v>
      </c>
      <c r="C151" s="8">
        <f>'3.8 Data EUR#USD'!F152/100</f>
        <v>1.2254607956861565E-2</v>
      </c>
      <c r="D151" s="8">
        <f>'3.8 Data EUR#USD'!G152/100</f>
        <v>1.588610272560553E-2</v>
      </c>
      <c r="E151" s="8">
        <v>-1.711149999999999E-3</v>
      </c>
      <c r="F151" s="8">
        <v>-6.0657950000000006E-3</v>
      </c>
      <c r="G151" s="8">
        <v>4.5144202000000001E-2</v>
      </c>
    </row>
    <row r="152" spans="1:7" x14ac:dyDescent="0.2">
      <c r="A152" s="2">
        <v>41698</v>
      </c>
      <c r="B152" s="8">
        <f>'Final Data'!I152</f>
        <v>-1.9923748616406403E-2</v>
      </c>
      <c r="C152" s="8">
        <f>'3.8 Data EUR#USD'!F153/100</f>
        <v>1.2254607956861565E-2</v>
      </c>
      <c r="D152" s="8">
        <f>'3.8 Data EUR#USD'!G153/100</f>
        <v>1.588610272560553E-2</v>
      </c>
      <c r="E152" s="8">
        <v>-2.0032100000000018E-3</v>
      </c>
      <c r="F152" s="8">
        <v>-2.9896936000000009E-3</v>
      </c>
      <c r="G152" s="8">
        <v>4.3971789999999997E-2</v>
      </c>
    </row>
    <row r="153" spans="1:7" x14ac:dyDescent="0.2">
      <c r="A153" s="2">
        <v>41729</v>
      </c>
      <c r="B153" s="8">
        <f>'Final Data'!I153</f>
        <v>5.144936629439034E-3</v>
      </c>
      <c r="C153" s="8">
        <f>'3.8 Data EUR#USD'!F154/100</f>
        <v>1.3843035331949343E-2</v>
      </c>
      <c r="D153" s="8">
        <f>'3.8 Data EUR#USD'!G154/100</f>
        <v>1.3839694401963936E-2</v>
      </c>
      <c r="E153" s="8">
        <v>-3.510645000000001E-3</v>
      </c>
      <c r="F153" s="8">
        <v>-9.0155720000000012E-3</v>
      </c>
      <c r="G153" s="8">
        <v>5.0339679999999998E-2</v>
      </c>
    </row>
    <row r="154" spans="1:7" x14ac:dyDescent="0.2">
      <c r="A154" s="2">
        <v>41759</v>
      </c>
      <c r="B154" s="8">
        <f>'Final Data'!I154</f>
        <v>-7.8651685393257859E-3</v>
      </c>
      <c r="C154" s="8">
        <f>'3.8 Data EUR#USD'!F155/100</f>
        <v>1.3843035331949343E-2</v>
      </c>
      <c r="D154" s="8">
        <f>'3.8 Data EUR#USD'!G155/100</f>
        <v>1.3839694401963936E-2</v>
      </c>
      <c r="E154" s="8">
        <v>-4.2882939999999972E-3</v>
      </c>
      <c r="F154" s="8">
        <v>-1.1711834700000001E-2</v>
      </c>
      <c r="G154" s="8">
        <v>4.7991310000000002E-2</v>
      </c>
    </row>
    <row r="155" spans="1:7" x14ac:dyDescent="0.2">
      <c r="A155" s="2">
        <v>41790</v>
      </c>
      <c r="B155" s="8">
        <f>'Final Data'!I155</f>
        <v>1.1325028312570854E-2</v>
      </c>
      <c r="C155" s="8">
        <f>'3.8 Data EUR#USD'!F156/100</f>
        <v>1.3843035331949343E-2</v>
      </c>
      <c r="D155" s="8">
        <f>'3.8 Data EUR#USD'!G156/100</f>
        <v>1.3839694401963936E-2</v>
      </c>
      <c r="E155" s="8">
        <v>-4.4132609999999991E-3</v>
      </c>
      <c r="F155" s="8">
        <v>-1.5386811999999998E-2</v>
      </c>
      <c r="G155" s="8">
        <v>4.9560634999999999E-2</v>
      </c>
    </row>
    <row r="156" spans="1:7" x14ac:dyDescent="0.2">
      <c r="A156" s="2">
        <v>41820</v>
      </c>
      <c r="B156" s="8">
        <f>'Final Data'!I156</f>
        <v>-7.3410476545975288E-3</v>
      </c>
      <c r="C156" s="8">
        <f>'3.8 Data EUR#USD'!F157/100</f>
        <v>1.3078543630147366E-2</v>
      </c>
      <c r="D156" s="8">
        <f>'3.8 Data EUR#USD'!G157/100</f>
        <v>1.545165694081365E-2</v>
      </c>
      <c r="E156" s="8">
        <v>-6.1685299999999985E-3</v>
      </c>
      <c r="F156" s="8">
        <v>-1.5509724700000003E-2</v>
      </c>
      <c r="G156" s="8">
        <v>5.4104448000000006E-2</v>
      </c>
    </row>
    <row r="157" spans="1:7" x14ac:dyDescent="0.2">
      <c r="A157" s="2">
        <v>41851</v>
      </c>
      <c r="B157" s="8">
        <f>'Final Data'!I157</f>
        <v>2.1057909250438614E-2</v>
      </c>
      <c r="C157" s="8">
        <f>'3.8 Data EUR#USD'!F158/100</f>
        <v>1.3078543630147366E-2</v>
      </c>
      <c r="D157" s="8">
        <f>'3.8 Data EUR#USD'!G158/100</f>
        <v>1.545165694081365E-2</v>
      </c>
      <c r="E157" s="8">
        <v>-6.8442030000000018E-3</v>
      </c>
      <c r="F157" s="8">
        <v>-1.5403791800000002E-2</v>
      </c>
      <c r="G157" s="8">
        <v>5.3127423E-2</v>
      </c>
    </row>
    <row r="158" spans="1:7" x14ac:dyDescent="0.2">
      <c r="A158" s="2">
        <v>41882</v>
      </c>
      <c r="B158" s="8">
        <f>'Final Data'!I158</f>
        <v>1.5835993125460426E-2</v>
      </c>
      <c r="C158" s="8">
        <f>'3.8 Data EUR#USD'!F159/100</f>
        <v>1.3078543630147366E-2</v>
      </c>
      <c r="D158" s="8">
        <f>'3.8 Data EUR#USD'!G159/100</f>
        <v>1.545165694081365E-2</v>
      </c>
      <c r="E158" s="8">
        <v>-7.5542859999999986E-3</v>
      </c>
      <c r="F158" s="8">
        <v>-1.2710674400000002E-2</v>
      </c>
      <c r="G158" s="8">
        <v>5.3705956999999999E-2</v>
      </c>
    </row>
    <row r="159" spans="1:7" x14ac:dyDescent="0.2">
      <c r="A159" s="2">
        <v>41912</v>
      </c>
      <c r="B159" s="8">
        <f>'Final Data'!I159</f>
        <v>3.8549848942598157E-2</v>
      </c>
      <c r="C159" s="8">
        <f>'3.8 Data EUR#USD'!F160/100</f>
        <v>1.3438402499326626E-2</v>
      </c>
      <c r="D159" s="8">
        <f>'3.8 Data EUR#USD'!G160/100</f>
        <v>1.5952711547205053E-2</v>
      </c>
      <c r="E159" s="8">
        <v>-9.7767569999999988E-3</v>
      </c>
      <c r="F159" s="8">
        <v>-1.2930125000000001E-2</v>
      </c>
      <c r="G159" s="8">
        <v>6.0172833000000009E-2</v>
      </c>
    </row>
    <row r="160" spans="1:7" x14ac:dyDescent="0.2">
      <c r="A160" s="2">
        <v>41943</v>
      </c>
      <c r="B160" s="8">
        <f>'Final Data'!I160</f>
        <v>1.1403304631138049E-2</v>
      </c>
      <c r="C160" s="8">
        <f>'3.8 Data EUR#USD'!F161/100</f>
        <v>1.3438402499326626E-2</v>
      </c>
      <c r="D160" s="8">
        <f>'3.8 Data EUR#USD'!G161/100</f>
        <v>1.5952711547205053E-2</v>
      </c>
      <c r="E160" s="8">
        <v>-8.2543240000000021E-3</v>
      </c>
      <c r="F160" s="8">
        <v>-1.09712306E-2</v>
      </c>
      <c r="G160" s="8">
        <v>6.7930079000000004E-2</v>
      </c>
    </row>
    <row r="161" spans="1:7" x14ac:dyDescent="0.2">
      <c r="A161" s="2">
        <v>41973</v>
      </c>
      <c r="B161" s="8">
        <f>'Final Data'!I161</f>
        <v>1.6566958122411386E-2</v>
      </c>
      <c r="C161" s="8">
        <f>'3.8 Data EUR#USD'!F162/100</f>
        <v>1.3438402499326626E-2</v>
      </c>
      <c r="D161" s="8">
        <f>'3.8 Data EUR#USD'!G162/100</f>
        <v>1.5952711547205053E-2</v>
      </c>
      <c r="E161" s="8">
        <v>-9.484223E-3</v>
      </c>
      <c r="F161" s="8">
        <v>-8.6671196000000002E-3</v>
      </c>
      <c r="G161" s="8">
        <v>5.7966391999999999E-2</v>
      </c>
    </row>
    <row r="162" spans="1:7" x14ac:dyDescent="0.2">
      <c r="A162" s="2">
        <v>42004</v>
      </c>
      <c r="B162" s="8">
        <f>'Final Data'!I162</f>
        <v>2.161611588954274E-2</v>
      </c>
      <c r="C162" s="8">
        <f>'3.8 Data EUR#USD'!F163/100</f>
        <v>1.3756533754289082E-2</v>
      </c>
      <c r="D162" s="8">
        <f>'3.8 Data EUR#USD'!G163/100</f>
        <v>1.5447045374331322E-2</v>
      </c>
      <c r="E162" s="8">
        <v>-1.0493182E-2</v>
      </c>
      <c r="F162" s="8">
        <v>-6.7178081599999998E-3</v>
      </c>
      <c r="G162" s="8">
        <v>6.4666954999999998E-2</v>
      </c>
    </row>
    <row r="163" spans="1:7" x14ac:dyDescent="0.2">
      <c r="A163" s="2">
        <v>42035</v>
      </c>
      <c r="B163" s="8">
        <f>'Final Data'!I163</f>
        <v>5.0182784978398155E-2</v>
      </c>
      <c r="C163" s="8">
        <f>'3.8 Data EUR#USD'!F164/100</f>
        <v>1.3756533754289082E-2</v>
      </c>
      <c r="D163" s="8">
        <f>'3.8 Data EUR#USD'!G164/100</f>
        <v>1.5447045374331322E-2</v>
      </c>
      <c r="E163" s="8">
        <v>-9.606861500000001E-3</v>
      </c>
      <c r="F163" s="8">
        <v>-1.0743539000000002E-3</v>
      </c>
      <c r="G163" s="8">
        <v>6.2429976999999998E-2</v>
      </c>
    </row>
    <row r="164" spans="1:7" x14ac:dyDescent="0.2">
      <c r="A164" s="2">
        <v>42063</v>
      </c>
      <c r="B164" s="8">
        <f>'Final Data'!I164</f>
        <v>5.4852320675105063E-3</v>
      </c>
      <c r="C164" s="8">
        <f>'3.8 Data EUR#USD'!F165/100</f>
        <v>1.3756533754289082E-2</v>
      </c>
      <c r="D164" s="8">
        <f>'3.8 Data EUR#USD'!G165/100</f>
        <v>1.5447045374331322E-2</v>
      </c>
      <c r="E164" s="8">
        <v>-1.1679070999999999E-2</v>
      </c>
      <c r="F164" s="8">
        <v>2.5893009999999991E-4</v>
      </c>
      <c r="G164" s="8">
        <v>5.8472111E-2</v>
      </c>
    </row>
    <row r="165" spans="1:7" x14ac:dyDescent="0.2">
      <c r="A165" s="2">
        <v>42094</v>
      </c>
      <c r="B165" s="8">
        <f>'Final Data'!I165</f>
        <v>3.1892572387746607E-2</v>
      </c>
      <c r="C165" s="8">
        <f>'3.8 Data EUR#USD'!F166/100</f>
        <v>1.4306986170239748E-2</v>
      </c>
      <c r="D165" s="8">
        <f>'3.8 Data EUR#USD'!G166/100</f>
        <v>1.7064673716631083E-2</v>
      </c>
      <c r="E165" s="8">
        <v>-1.3897684999999998E-2</v>
      </c>
      <c r="F165" s="8">
        <v>1.91564927E-3</v>
      </c>
      <c r="G165" s="8">
        <v>5.9471948000000004E-2</v>
      </c>
    </row>
    <row r="166" spans="1:7" x14ac:dyDescent="0.2">
      <c r="A166" s="2">
        <v>42124</v>
      </c>
      <c r="B166" s="8">
        <f>'Final Data'!I166</f>
        <v>-3.8226921512810139E-2</v>
      </c>
      <c r="C166" s="8">
        <f>'3.8 Data EUR#USD'!F167/100</f>
        <v>1.4306986170239748E-2</v>
      </c>
      <c r="D166" s="8">
        <f>'3.8 Data EUR#USD'!G167/100</f>
        <v>1.7064673716631083E-2</v>
      </c>
      <c r="E166" s="8">
        <v>-1.3064088E-2</v>
      </c>
      <c r="F166" s="8">
        <v>2.7944075999999994E-3</v>
      </c>
      <c r="G166" s="8">
        <v>4.4109104000000003E-2</v>
      </c>
    </row>
    <row r="167" spans="1:7" x14ac:dyDescent="0.2">
      <c r="A167" s="2">
        <v>42155</v>
      </c>
      <c r="B167" s="8">
        <f>'Final Data'!I167</f>
        <v>2.4418604651162815E-2</v>
      </c>
      <c r="C167" s="8">
        <f>'3.8 Data EUR#USD'!F168/100</f>
        <v>1.4306986170239748E-2</v>
      </c>
      <c r="D167" s="8">
        <f>'3.8 Data EUR#USD'!G168/100</f>
        <v>1.7064673716631083E-2</v>
      </c>
      <c r="E167" s="8">
        <v>-1.1267103000000001E-2</v>
      </c>
      <c r="F167" s="8">
        <v>4.2274328400000007E-3</v>
      </c>
      <c r="G167" s="8">
        <v>5.1087675999999999E-2</v>
      </c>
    </row>
    <row r="168" spans="1:7" x14ac:dyDescent="0.2">
      <c r="A168" s="2">
        <v>42185</v>
      </c>
      <c r="B168" s="8">
        <f>'Final Data'!I168</f>
        <v>-1.4755959137343852E-2</v>
      </c>
      <c r="C168" s="8">
        <f>'3.8 Data EUR#USD'!F169/100</f>
        <v>1.4575121827970943E-2</v>
      </c>
      <c r="D168" s="8">
        <f>'3.8 Data EUR#USD'!G169/100</f>
        <v>1.6234937679949296E-2</v>
      </c>
      <c r="E168" s="8">
        <v>-9.6258509999999978E-3</v>
      </c>
      <c r="F168" s="8">
        <v>2.8176686000000008E-3</v>
      </c>
      <c r="G168" s="8">
        <v>5.4811194000000001E-2</v>
      </c>
    </row>
    <row r="169" spans="1:7" x14ac:dyDescent="0.2">
      <c r="A169" s="2">
        <v>42216</v>
      </c>
      <c r="B169" s="8">
        <f>'Final Data'!I169</f>
        <v>1.9480519480519473E-2</v>
      </c>
      <c r="C169" s="8">
        <f>'3.8 Data EUR#USD'!F170/100</f>
        <v>1.4575121827970943E-2</v>
      </c>
      <c r="D169" s="8">
        <f>'3.8 Data EUR#USD'!G170/100</f>
        <v>1.6234937679949296E-2</v>
      </c>
      <c r="E169" s="8">
        <v>-1.0210739000000002E-2</v>
      </c>
      <c r="F169" s="8">
        <v>1.1577497E-3</v>
      </c>
      <c r="G169" s="8">
        <v>7.1776119999999999E-2</v>
      </c>
    </row>
    <row r="170" spans="1:7" x14ac:dyDescent="0.2">
      <c r="A170" s="2">
        <v>42247</v>
      </c>
      <c r="B170" s="8">
        <f>'Final Data'!I170</f>
        <v>-1.561536881035556E-2</v>
      </c>
      <c r="C170" s="8">
        <f>'3.8 Data EUR#USD'!F171/100</f>
        <v>1.4575121827970943E-2</v>
      </c>
      <c r="D170" s="8">
        <f>'3.8 Data EUR#USD'!G171/100</f>
        <v>1.6234937679949296E-2</v>
      </c>
      <c r="E170" s="8">
        <v>-1.0072365000000002E-2</v>
      </c>
      <c r="F170" s="8">
        <v>-3.6161970000000017E-4</v>
      </c>
      <c r="G170" s="8">
        <v>5.7865413999999997E-2</v>
      </c>
    </row>
    <row r="171" spans="1:7" x14ac:dyDescent="0.2">
      <c r="A171" s="2">
        <v>42277</v>
      </c>
      <c r="B171" s="8">
        <f>'Final Data'!I171</f>
        <v>5.5312043414736086E-3</v>
      </c>
      <c r="C171" s="8">
        <f>'3.8 Data EUR#USD'!F172/100</f>
        <v>1.4493478954390395E-2</v>
      </c>
      <c r="D171" s="8">
        <f>'3.8 Data EUR#USD'!G172/100</f>
        <v>1.5106366334405343E-2</v>
      </c>
      <c r="E171" s="8">
        <v>-9.8337510000000017E-3</v>
      </c>
      <c r="F171" s="8">
        <v>8.0327974999999999E-4</v>
      </c>
      <c r="G171" s="8">
        <v>6.3286202999999999E-2</v>
      </c>
    </row>
    <row r="172" spans="1:7" x14ac:dyDescent="0.2">
      <c r="A172" s="2">
        <v>42308</v>
      </c>
      <c r="B172" s="8">
        <f>'Final Data'!I172</f>
        <v>6.2272963155164352E-3</v>
      </c>
      <c r="C172" s="8">
        <f>'3.8 Data EUR#USD'!F173/100</f>
        <v>1.4493478954390395E-2</v>
      </c>
      <c r="D172" s="8">
        <f>'3.8 Data EUR#USD'!G173/100</f>
        <v>1.5106366334405343E-2</v>
      </c>
      <c r="E172" s="8">
        <v>-1.0347091999999997E-2</v>
      </c>
      <c r="F172" s="8">
        <v>8.7652840000000014E-4</v>
      </c>
      <c r="G172" s="8">
        <v>5.6485545999999998E-2</v>
      </c>
    </row>
    <row r="173" spans="1:7" x14ac:dyDescent="0.2">
      <c r="A173" s="2">
        <v>42338</v>
      </c>
      <c r="B173" s="8">
        <f>'Final Data'!I173</f>
        <v>3.3212996389891683E-2</v>
      </c>
      <c r="C173" s="8">
        <f>'3.8 Data EUR#USD'!F174/100</f>
        <v>1.4493478954390395E-2</v>
      </c>
      <c r="D173" s="8">
        <f>'3.8 Data EUR#USD'!G174/100</f>
        <v>1.5106366334405343E-2</v>
      </c>
      <c r="E173" s="8">
        <v>-1.2449894000000001E-2</v>
      </c>
      <c r="F173" s="8">
        <v>-7.7029949999999963E-4</v>
      </c>
      <c r="G173" s="8">
        <v>5.3233473000000003E-2</v>
      </c>
    </row>
    <row r="174" spans="1:7" x14ac:dyDescent="0.2">
      <c r="A174" s="2">
        <v>42369</v>
      </c>
      <c r="B174" s="8">
        <f>'Final Data'!I174</f>
        <v>-1.5373864430468266E-2</v>
      </c>
      <c r="C174" s="8">
        <f>'3.8 Data EUR#USD'!F175/100</f>
        <v>1.4686084444834178E-2</v>
      </c>
      <c r="D174" s="8">
        <f>'3.8 Data EUR#USD'!G175/100</f>
        <v>1.4612050943554705E-2</v>
      </c>
      <c r="E174" s="8">
        <v>-1.1951400999999999E-2</v>
      </c>
      <c r="F174" s="8">
        <v>-1.5730417000000003E-3</v>
      </c>
      <c r="G174" s="8">
        <v>4.9332756999999991E-2</v>
      </c>
    </row>
    <row r="175" spans="1:7" x14ac:dyDescent="0.2">
      <c r="A175" s="2">
        <v>42400</v>
      </c>
      <c r="B175" s="8">
        <f>'Final Data'!I175</f>
        <v>9.9361249112846391E-3</v>
      </c>
      <c r="C175" s="8">
        <f>'3.8 Data EUR#USD'!F176/100</f>
        <v>1.4686084444834178E-2</v>
      </c>
      <c r="D175" s="8">
        <f>'3.8 Data EUR#USD'!G176/100</f>
        <v>1.4612050943554705E-2</v>
      </c>
      <c r="E175" s="8">
        <v>-1.1100404999999997E-2</v>
      </c>
      <c r="F175" s="8">
        <v>-8.6870950000000006E-3</v>
      </c>
      <c r="G175" s="8">
        <v>6.1444627999999994E-2</v>
      </c>
    </row>
    <row r="176" spans="1:7" x14ac:dyDescent="0.2">
      <c r="A176" s="2">
        <v>42429</v>
      </c>
      <c r="B176" s="8">
        <f>'Final Data'!I176</f>
        <v>-1.4054813773717555E-2</v>
      </c>
      <c r="C176" s="8">
        <f>'3.8 Data EUR#USD'!F177/100</f>
        <v>1.4686084444834178E-2</v>
      </c>
      <c r="D176" s="8">
        <f>'3.8 Data EUR#USD'!G177/100</f>
        <v>1.4612050943554705E-2</v>
      </c>
      <c r="E176" s="8">
        <v>-9.6632617000000001E-3</v>
      </c>
      <c r="F176" s="8">
        <v>-8.1942116800000006E-3</v>
      </c>
      <c r="G176" s="8">
        <v>6.0762988999999996E-2</v>
      </c>
    </row>
    <row r="177" spans="1:7" x14ac:dyDescent="0.2">
      <c r="A177" s="2">
        <v>42460</v>
      </c>
      <c r="B177" s="8">
        <f>'Final Data'!I177</f>
        <v>-3.6859790245392432E-2</v>
      </c>
      <c r="C177" s="8">
        <f>'3.8 Data EUR#USD'!F178/100</f>
        <v>1.4137675342575991E-2</v>
      </c>
      <c r="D177" s="8">
        <f>'3.8 Data EUR#USD'!G178/100</f>
        <v>1.4086235750514977E-2</v>
      </c>
      <c r="E177" s="8">
        <v>-1.1658644599999999E-2</v>
      </c>
      <c r="F177" s="8">
        <v>-8.843371840000001E-3</v>
      </c>
      <c r="G177" s="8">
        <v>6.6552147999999992E-2</v>
      </c>
    </row>
    <row r="178" spans="1:7" x14ac:dyDescent="0.2">
      <c r="A178" s="2">
        <v>42490</v>
      </c>
      <c r="B178" s="8">
        <f>'Final Data'!I178</f>
        <v>-1.5963632519293849E-2</v>
      </c>
      <c r="C178" s="8">
        <f>'3.8 Data EUR#USD'!F179/100</f>
        <v>1.4137675342575991E-2</v>
      </c>
      <c r="D178" s="8">
        <f>'3.8 Data EUR#USD'!G179/100</f>
        <v>1.4086235750514977E-2</v>
      </c>
      <c r="E178" s="8">
        <v>-1.0844491000000001E-2</v>
      </c>
      <c r="F178" s="8">
        <v>-1.2225424329999998E-2</v>
      </c>
      <c r="G178" s="8">
        <v>6.404404000000001E-2</v>
      </c>
    </row>
    <row r="179" spans="1:7" x14ac:dyDescent="0.2">
      <c r="A179" s="2">
        <v>42521</v>
      </c>
      <c r="B179" s="8">
        <f>'Final Data'!I179</f>
        <v>3.0189084658358425E-2</v>
      </c>
      <c r="C179" s="8">
        <f>'3.8 Data EUR#USD'!F180/100</f>
        <v>1.4137675342575991E-2</v>
      </c>
      <c r="D179" s="8">
        <f>'3.8 Data EUR#USD'!G180/100</f>
        <v>1.4086235750514977E-2</v>
      </c>
      <c r="E179" s="8">
        <v>-1.0798757000000001E-2</v>
      </c>
      <c r="F179" s="8">
        <v>-1.0838741550000001E-2</v>
      </c>
      <c r="G179" s="8">
        <v>6.357169E-2</v>
      </c>
    </row>
    <row r="180" spans="1:7" x14ac:dyDescent="0.2">
      <c r="A180" s="2">
        <v>42551</v>
      </c>
      <c r="B180" s="8">
        <f>'Final Data'!I180</f>
        <v>2.6071540306601315E-3</v>
      </c>
      <c r="C180" s="8">
        <f>'3.8 Data EUR#USD'!F181/100</f>
        <v>1.3744987351893348E-2</v>
      </c>
      <c r="D180" s="8">
        <f>'3.8 Data EUR#USD'!G181/100</f>
        <v>1.3559868538853083E-2</v>
      </c>
      <c r="E180" s="8">
        <v>-1.03667507E-2</v>
      </c>
      <c r="F180" s="8">
        <v>-9.5380797000000003E-3</v>
      </c>
      <c r="G180" s="8">
        <v>5.8664570000000006E-2</v>
      </c>
    </row>
    <row r="181" spans="1:7" x14ac:dyDescent="0.2">
      <c r="A181" s="2">
        <v>42582</v>
      </c>
      <c r="B181" s="8">
        <f>'Final Data'!I181</f>
        <v>-6.3449136675681238E-3</v>
      </c>
      <c r="C181" s="8">
        <f>'3.8 Data EUR#USD'!F182/100</f>
        <v>1.3744987351893348E-2</v>
      </c>
      <c r="D181" s="8">
        <f>'3.8 Data EUR#USD'!G182/100</f>
        <v>1.3559868538853083E-2</v>
      </c>
      <c r="E181" s="8">
        <v>-1.0849107999999998E-2</v>
      </c>
      <c r="F181" s="8">
        <v>-6.8172922999999996E-3</v>
      </c>
      <c r="G181" s="8">
        <v>6.1591353000000001E-2</v>
      </c>
    </row>
    <row r="182" spans="1:7" x14ac:dyDescent="0.2">
      <c r="A182" s="2">
        <v>42613</v>
      </c>
      <c r="B182" s="8">
        <f>'Final Data'!I182</f>
        <v>5.1292787605987109E-3</v>
      </c>
      <c r="C182" s="8">
        <f>'3.8 Data EUR#USD'!F183/100</f>
        <v>1.3744987351893348E-2</v>
      </c>
      <c r="D182" s="8">
        <f>'3.8 Data EUR#USD'!G183/100</f>
        <v>1.3559868538853083E-2</v>
      </c>
      <c r="E182" s="8">
        <v>-1.1862024000000001E-2</v>
      </c>
      <c r="F182" s="8">
        <v>-7.7411089999999995E-3</v>
      </c>
      <c r="G182" s="8">
        <v>5.4992219999999994E-2</v>
      </c>
    </row>
    <row r="183" spans="1:7" x14ac:dyDescent="0.2">
      <c r="A183" s="2">
        <v>42643</v>
      </c>
      <c r="B183" s="8">
        <f>'Final Data'!I183</f>
        <v>-5.832118308685714E-3</v>
      </c>
      <c r="C183" s="8">
        <f>'3.8 Data EUR#USD'!F184/100</f>
        <v>1.3838166418187976E-2</v>
      </c>
      <c r="D183" s="8">
        <f>'3.8 Data EUR#USD'!G184/100</f>
        <v>1.4104269786475561E-2</v>
      </c>
      <c r="E183" s="8">
        <v>-1.2072435999999999E-2</v>
      </c>
      <c r="F183" s="8">
        <v>-1.09453764E-2</v>
      </c>
      <c r="G183" s="8">
        <v>5.8231666000000001E-2</v>
      </c>
    </row>
    <row r="184" spans="1:7" x14ac:dyDescent="0.2">
      <c r="A184" s="2">
        <v>42674</v>
      </c>
      <c r="B184" s="8">
        <f>'Final Data'!I184</f>
        <v>3.1217263775403355E-2</v>
      </c>
      <c r="C184" s="8">
        <f>'3.8 Data EUR#USD'!F185/100</f>
        <v>1.3838166418187976E-2</v>
      </c>
      <c r="D184" s="8">
        <f>'3.8 Data EUR#USD'!G185/100</f>
        <v>1.4104269786475561E-2</v>
      </c>
      <c r="E184" s="8">
        <v>-1.2291020599999997E-2</v>
      </c>
      <c r="F184" s="8">
        <v>-1.1797966E-2</v>
      </c>
      <c r="G184" s="8">
        <v>5.7298133000000001E-2</v>
      </c>
    </row>
    <row r="185" spans="1:7" x14ac:dyDescent="0.2">
      <c r="A185" s="2">
        <v>42704</v>
      </c>
      <c r="B185" s="8">
        <f>'Final Data'!I185</f>
        <v>3.1084924827305998E-2</v>
      </c>
      <c r="C185" s="8">
        <f>'3.8 Data EUR#USD'!F186/100</f>
        <v>1.3838166418187976E-2</v>
      </c>
      <c r="D185" s="8">
        <f>'3.8 Data EUR#USD'!G186/100</f>
        <v>1.4104269786475561E-2</v>
      </c>
      <c r="E185" s="8">
        <v>-1.3141755999999999E-2</v>
      </c>
      <c r="F185" s="8">
        <v>-1.1070524399999998E-2</v>
      </c>
      <c r="G185" s="8">
        <v>5.4207995999999994E-2</v>
      </c>
    </row>
    <row r="186" spans="1:7" x14ac:dyDescent="0.2">
      <c r="A186" s="2">
        <v>42735</v>
      </c>
      <c r="B186" s="8">
        <f>'Final Data'!I186</f>
        <v>6.9950738916255539E-3</v>
      </c>
      <c r="C186" s="8">
        <f>'3.8 Data EUR#USD'!F187/100</f>
        <v>1.4275256246403365E-2</v>
      </c>
      <c r="D186" s="8">
        <f>'3.8 Data EUR#USD'!G187/100</f>
        <v>1.4707800478430606E-2</v>
      </c>
      <c r="E186" s="8">
        <v>-1.6033244999999998E-2</v>
      </c>
      <c r="F186" s="8">
        <v>-1.0473406999999999E-2</v>
      </c>
      <c r="G186" s="8">
        <v>5.0468611000000003E-2</v>
      </c>
    </row>
    <row r="187" spans="1:7" x14ac:dyDescent="0.2">
      <c r="A187" s="2">
        <v>42766</v>
      </c>
      <c r="B187" s="8">
        <f>'Final Data'!I187</f>
        <v>-2.6416201937188032E-2</v>
      </c>
      <c r="C187" s="8">
        <f>'3.8 Data EUR#USD'!F188/100</f>
        <v>1.4275256246403365E-2</v>
      </c>
      <c r="D187" s="8">
        <f>'3.8 Data EUR#USD'!G188/100</f>
        <v>1.4707800478430606E-2</v>
      </c>
      <c r="E187" s="8">
        <v>-1.4560604999999999E-2</v>
      </c>
      <c r="F187" s="8">
        <v>-9.2371600000000012E-3</v>
      </c>
      <c r="G187" s="8">
        <v>5.0648414000000003E-2</v>
      </c>
    </row>
    <row r="188" spans="1:7" x14ac:dyDescent="0.2">
      <c r="A188" s="2">
        <v>42794</v>
      </c>
      <c r="B188" s="8">
        <f>'Final Data'!I188</f>
        <v>1.6179278464475925E-2</v>
      </c>
      <c r="C188" s="8">
        <f>'3.8 Data EUR#USD'!F189/100</f>
        <v>1.4275256246403365E-2</v>
      </c>
      <c r="D188" s="8">
        <f>'3.8 Data EUR#USD'!G189/100</f>
        <v>1.4707800478430606E-2</v>
      </c>
      <c r="E188" s="8">
        <v>-1.3406557E-2</v>
      </c>
      <c r="F188" s="8">
        <v>-1.0515463000000001E-2</v>
      </c>
      <c r="G188" s="8">
        <v>5.9911697999999999E-2</v>
      </c>
    </row>
    <row r="189" spans="1:7" x14ac:dyDescent="0.2">
      <c r="A189" s="2">
        <v>42825</v>
      </c>
      <c r="B189" s="8">
        <f>'Final Data'!I189</f>
        <v>-7.6147151898735181E-3</v>
      </c>
      <c r="C189" s="8">
        <f>'3.8 Data EUR#USD'!F190/100</f>
        <v>1.482879862505449E-2</v>
      </c>
      <c r="D189" s="8">
        <f>'3.8 Data EUR#USD'!G190/100</f>
        <v>1.4561325680324312E-2</v>
      </c>
      <c r="E189" s="8">
        <v>-1.3714614000000003E-2</v>
      </c>
      <c r="F189" s="8">
        <v>-9.5645439999999995E-3</v>
      </c>
      <c r="G189" s="8">
        <v>6.3283296000000003E-2</v>
      </c>
    </row>
    <row r="190" spans="1:7" x14ac:dyDescent="0.2">
      <c r="A190" s="2">
        <v>42855</v>
      </c>
      <c r="B190" s="8">
        <f>'Final Data'!I190</f>
        <v>-1.2954658694568981E-2</v>
      </c>
      <c r="C190" s="8">
        <f>'3.8 Data EUR#USD'!F191/100</f>
        <v>1.482879862505449E-2</v>
      </c>
      <c r="D190" s="8">
        <f>'3.8 Data EUR#USD'!G191/100</f>
        <v>1.4561325680324312E-2</v>
      </c>
      <c r="E190" s="8">
        <v>-1.30591366E-2</v>
      </c>
      <c r="F190" s="8">
        <v>-5.4987710000000004E-3</v>
      </c>
      <c r="G190" s="8">
        <v>3.2418765000000002E-2</v>
      </c>
    </row>
    <row r="191" spans="1:7" x14ac:dyDescent="0.2">
      <c r="A191" s="2">
        <v>42886</v>
      </c>
      <c r="B191" s="8">
        <f>'Final Data'!I191</f>
        <v>-2.1504290762241248E-2</v>
      </c>
      <c r="C191" s="8">
        <f>'3.8 Data EUR#USD'!F192/100</f>
        <v>1.482879862505449E-2</v>
      </c>
      <c r="D191" s="8">
        <f>'3.8 Data EUR#USD'!G192/100</f>
        <v>1.4561325680324312E-2</v>
      </c>
      <c r="E191" s="8">
        <v>-1.3037172000000003E-2</v>
      </c>
      <c r="F191" s="8">
        <v>-5.8442889999999999E-3</v>
      </c>
      <c r="G191" s="8">
        <v>3.7959501E-2</v>
      </c>
    </row>
    <row r="192" spans="1:7" x14ac:dyDescent="0.2">
      <c r="A192" s="2">
        <v>42916</v>
      </c>
      <c r="B192" s="8">
        <f>'Final Data'!I192</f>
        <v>-1.330994634750316E-2</v>
      </c>
      <c r="C192" s="8">
        <f>'3.8 Data EUR#USD'!F193/100</f>
        <v>1.5091033080925695E-2</v>
      </c>
      <c r="D192" s="8">
        <f>'3.8 Data EUR#USD'!G193/100</f>
        <v>1.4933659024217602E-2</v>
      </c>
      <c r="E192" s="8">
        <v>-1.2937354999999999E-2</v>
      </c>
      <c r="F192" s="8">
        <v>-5.0741499999999995E-3</v>
      </c>
      <c r="G192" s="8">
        <v>4.2771856000000004E-2</v>
      </c>
    </row>
    <row r="193" spans="1:7" x14ac:dyDescent="0.2">
      <c r="A193" s="2">
        <v>42947</v>
      </c>
      <c r="B193" s="8">
        <f>'Final Data'!I193</f>
        <v>-2.8965805709505344E-2</v>
      </c>
      <c r="C193" s="8">
        <f>'3.8 Data EUR#USD'!F194/100</f>
        <v>1.5091033080925695E-2</v>
      </c>
      <c r="D193" s="8">
        <f>'3.8 Data EUR#USD'!G194/100</f>
        <v>1.4933659024217602E-2</v>
      </c>
      <c r="E193" s="8">
        <v>-1.2496566000000001E-2</v>
      </c>
      <c r="F193" s="8">
        <v>-4.9635459999999984E-3</v>
      </c>
      <c r="G193" s="8">
        <v>5.8161244000000008E-2</v>
      </c>
    </row>
    <row r="194" spans="1:7" x14ac:dyDescent="0.2">
      <c r="A194" s="2">
        <v>42978</v>
      </c>
      <c r="B194" s="8">
        <f>'Final Data'!I194</f>
        <v>-2.0460908895110676E-3</v>
      </c>
      <c r="C194" s="8">
        <f>'3.8 Data EUR#USD'!F195/100</f>
        <v>1.5091033080925695E-2</v>
      </c>
      <c r="D194" s="8">
        <f>'3.8 Data EUR#USD'!G195/100</f>
        <v>1.4933659024217602E-2</v>
      </c>
      <c r="E194" s="8">
        <v>-1.2809759E-2</v>
      </c>
      <c r="F194" s="8">
        <v>-5.249885000000001E-3</v>
      </c>
      <c r="G194" s="8">
        <v>6.5596044000000006E-2</v>
      </c>
    </row>
    <row r="195" spans="1:7" x14ac:dyDescent="0.2">
      <c r="A195" s="2">
        <v>43008</v>
      </c>
      <c r="B195" s="8">
        <f>'Final Data'!I195</f>
        <v>4.4243012841264336E-3</v>
      </c>
      <c r="C195" s="8">
        <f>'3.8 Data EUR#USD'!F196/100</f>
        <v>1.5482901714408595E-2</v>
      </c>
      <c r="D195" s="8">
        <f>'3.8 Data EUR#USD'!G196/100</f>
        <v>1.5052874143413629E-2</v>
      </c>
      <c r="E195" s="8">
        <v>-1.2549496400000002E-2</v>
      </c>
      <c r="F195" s="8">
        <v>-8.3066239999999986E-3</v>
      </c>
      <c r="G195" s="8">
        <v>6.6273864000000002E-2</v>
      </c>
    </row>
    <row r="196" spans="1:7" x14ac:dyDescent="0.2">
      <c r="A196" s="2">
        <v>43039</v>
      </c>
      <c r="B196" s="8">
        <f>'Final Data'!I196</f>
        <v>1.5792866351525558E-2</v>
      </c>
      <c r="C196" s="8">
        <f>'3.8 Data EUR#USD'!F197/100</f>
        <v>1.5482901714408595E-2</v>
      </c>
      <c r="D196" s="8">
        <f>'3.8 Data EUR#USD'!G197/100</f>
        <v>1.5052874143413629E-2</v>
      </c>
      <c r="E196" s="8">
        <v>-1.39497684E-2</v>
      </c>
      <c r="F196" s="8">
        <v>-7.3411220000000003E-3</v>
      </c>
      <c r="G196" s="8">
        <v>6.4384788999999998E-2</v>
      </c>
    </row>
    <row r="197" spans="1:7" x14ac:dyDescent="0.2">
      <c r="A197" s="2">
        <v>43069</v>
      </c>
      <c r="B197" s="8">
        <f>'Final Data'!I197</f>
        <v>-1.5864621893178214E-2</v>
      </c>
      <c r="C197" s="8">
        <f>'3.8 Data EUR#USD'!F198/100</f>
        <v>1.5482901714408595E-2</v>
      </c>
      <c r="D197" s="8">
        <f>'3.8 Data EUR#USD'!G198/100</f>
        <v>1.5052874143413629E-2</v>
      </c>
      <c r="E197" s="8">
        <v>-1.5037157399999999E-2</v>
      </c>
      <c r="F197" s="8">
        <v>-7.5484660000000002E-3</v>
      </c>
      <c r="G197" s="8">
        <v>6.5101395999999992E-2</v>
      </c>
    </row>
    <row r="198" spans="1:7" x14ac:dyDescent="0.2">
      <c r="A198" s="2">
        <v>43100</v>
      </c>
      <c r="B198" s="8">
        <f>'Final Data'!I198</f>
        <v>-9.9946265448682715E-3</v>
      </c>
      <c r="C198" s="8">
        <f>'3.8 Data EUR#USD'!F199/100</f>
        <v>1.5549549378145854E-2</v>
      </c>
      <c r="D198" s="8">
        <f>'3.8 Data EUR#USD'!G199/100</f>
        <v>1.5866248434432455E-2</v>
      </c>
      <c r="E198" s="8">
        <v>-1.5792368000000001E-2</v>
      </c>
      <c r="F198" s="8">
        <v>-8.6342520000000002E-3</v>
      </c>
      <c r="G198" s="8">
        <v>6.6180316000000003E-2</v>
      </c>
    </row>
    <row r="199" spans="1:7" x14ac:dyDescent="0.2">
      <c r="A199" s="2">
        <v>43131</v>
      </c>
      <c r="B199" s="8">
        <f>'Final Data'!I199</f>
        <v>-3.2457663916630582E-2</v>
      </c>
      <c r="C199" s="8">
        <f>'3.8 Data EUR#USD'!F200/100</f>
        <v>1.5549549378145854E-2</v>
      </c>
      <c r="D199" s="8">
        <f>'3.8 Data EUR#USD'!G200/100</f>
        <v>1.5866248434432455E-2</v>
      </c>
      <c r="E199" s="8">
        <v>-1.5868179400000001E-2</v>
      </c>
      <c r="F199" s="8">
        <v>-9.5001039999999988E-3</v>
      </c>
      <c r="G199" s="8">
        <v>6.7129312999999996E-2</v>
      </c>
    </row>
    <row r="200" spans="1:7" x14ac:dyDescent="0.2">
      <c r="A200" s="2">
        <v>43159</v>
      </c>
      <c r="B200" s="8">
        <f>'Final Data'!I200</f>
        <v>1.660495904858077E-2</v>
      </c>
      <c r="C200" s="8">
        <f>'3.8 Data EUR#USD'!F201/100</f>
        <v>1.5549549378145854E-2</v>
      </c>
      <c r="D200" s="8">
        <f>'3.8 Data EUR#USD'!G201/100</f>
        <v>1.5866248434432455E-2</v>
      </c>
      <c r="E200" s="8">
        <v>-1.7326633000000001E-2</v>
      </c>
      <c r="F200" s="8">
        <v>-1.1567160999999999E-2</v>
      </c>
      <c r="G200" s="8">
        <v>6.290965200000001E-2</v>
      </c>
    </row>
    <row r="201" spans="1:7" x14ac:dyDescent="0.2">
      <c r="A201" s="2">
        <v>43190</v>
      </c>
      <c r="B201" s="8">
        <f>'Final Data'!I201</f>
        <v>-7.0632380531950182E-3</v>
      </c>
      <c r="C201" s="8">
        <f>'3.8 Data EUR#USD'!F202/100</f>
        <v>1.4375465875260587E-2</v>
      </c>
      <c r="D201" s="8">
        <f>'3.8 Data EUR#USD'!G202/100</f>
        <v>1.6297550286124184E-2</v>
      </c>
      <c r="E201" s="8">
        <v>-1.8425162700000001E-2</v>
      </c>
      <c r="F201" s="8">
        <v>-1.0765177000000001E-2</v>
      </c>
      <c r="G201" s="8">
        <v>6.6541873000000001E-2</v>
      </c>
    </row>
    <row r="202" spans="1:7" x14ac:dyDescent="0.2">
      <c r="A202" s="2">
        <v>43220</v>
      </c>
      <c r="B202" s="8">
        <f>'Final Data'!I202</f>
        <v>2.0784706013115533E-2</v>
      </c>
      <c r="C202" s="8">
        <f>'3.8 Data EUR#USD'!F203/100</f>
        <v>1.4375465875260587E-2</v>
      </c>
      <c r="D202" s="8">
        <f>'3.8 Data EUR#USD'!G203/100</f>
        <v>1.6297550286124184E-2</v>
      </c>
      <c r="E202" s="8">
        <v>-1.9424233999999999E-2</v>
      </c>
      <c r="F202" s="8">
        <v>-1.2130378000000002E-2</v>
      </c>
      <c r="G202" s="8">
        <v>5.6636261999999993E-2</v>
      </c>
    </row>
    <row r="203" spans="1:7" x14ac:dyDescent="0.2">
      <c r="A203" s="2">
        <v>43251</v>
      </c>
      <c r="B203" s="8">
        <f>'Final Data'!I203</f>
        <v>2.3301393728223003E-2</v>
      </c>
      <c r="C203" s="8">
        <f>'3.8 Data EUR#USD'!F204/100</f>
        <v>1.4375465875260587E-2</v>
      </c>
      <c r="D203" s="8">
        <f>'3.8 Data EUR#USD'!G204/100</f>
        <v>1.6297550286124184E-2</v>
      </c>
      <c r="E203" s="8">
        <v>-1.9777013E-2</v>
      </c>
      <c r="F203" s="8">
        <v>-1.0589805000000001E-2</v>
      </c>
      <c r="G203" s="8">
        <v>5.5978106E-2</v>
      </c>
    </row>
    <row r="204" spans="1:7" x14ac:dyDescent="0.2">
      <c r="A204" s="2">
        <v>43281</v>
      </c>
      <c r="B204" s="8">
        <f>'Final Data'!I204</f>
        <v>7.0227708022983244E-3</v>
      </c>
      <c r="C204" s="8">
        <f>'3.8 Data EUR#USD'!F205/100</f>
        <v>1.4607895897897995E-2</v>
      </c>
      <c r="D204" s="8">
        <f>'3.8 Data EUR#USD'!G205/100</f>
        <v>1.6260030540961451E-2</v>
      </c>
      <c r="E204" s="8">
        <v>-1.8801756999999999E-2</v>
      </c>
      <c r="F204" s="8">
        <v>-9.9445509999999994E-3</v>
      </c>
      <c r="G204" s="8">
        <v>6.1390601000000003E-2</v>
      </c>
    </row>
    <row r="205" spans="1:7" x14ac:dyDescent="0.2">
      <c r="A205" s="2">
        <v>43312</v>
      </c>
      <c r="B205" s="8">
        <f>'Final Data'!I205</f>
        <v>-1.5849535080304912E-3</v>
      </c>
      <c r="C205" s="8">
        <f>'3.8 Data EUR#USD'!F206/100</f>
        <v>1.4607895897897995E-2</v>
      </c>
      <c r="D205" s="8">
        <f>'3.8 Data EUR#USD'!G206/100</f>
        <v>1.6260030540961451E-2</v>
      </c>
      <c r="E205" s="8">
        <v>-1.9398921E-2</v>
      </c>
      <c r="F205" s="8">
        <v>-9.5568370000000003E-3</v>
      </c>
      <c r="G205" s="8">
        <v>6.0347073000000001E-2</v>
      </c>
    </row>
    <row r="206" spans="1:7" x14ac:dyDescent="0.2">
      <c r="A206" s="2">
        <v>43343</v>
      </c>
      <c r="B206" s="8">
        <f>'Final Data'!I206</f>
        <v>6.8790348184993725E-3</v>
      </c>
      <c r="C206" s="8">
        <f>'3.8 Data EUR#USD'!F207/100</f>
        <v>1.4607895897897995E-2</v>
      </c>
      <c r="D206" s="8">
        <f>'3.8 Data EUR#USD'!G207/100</f>
        <v>1.6260030540961451E-2</v>
      </c>
      <c r="E206" s="8">
        <v>-1.8454455000000002E-2</v>
      </c>
      <c r="F206" s="8">
        <v>-7.2329429999999986E-3</v>
      </c>
      <c r="G206" s="8">
        <v>6.7440550000000002E-2</v>
      </c>
    </row>
    <row r="207" spans="1:7" x14ac:dyDescent="0.2">
      <c r="A207" s="2">
        <v>43373</v>
      </c>
      <c r="B207" s="8">
        <f>'Final Data'!I207</f>
        <v>-1.051082615094084E-4</v>
      </c>
      <c r="C207" s="8">
        <f>'3.8 Data EUR#USD'!F208/100</f>
        <v>1.3480473645477607E-2</v>
      </c>
      <c r="D207" s="8">
        <f>'3.8 Data EUR#USD'!G208/100</f>
        <v>1.6044201215837078E-2</v>
      </c>
      <c r="E207" s="8">
        <v>-1.9309177E-2</v>
      </c>
      <c r="F207" s="8">
        <v>-3.0871200000000031E-3</v>
      </c>
      <c r="G207" s="8">
        <v>6.2109375999999994E-2</v>
      </c>
    </row>
    <row r="208" spans="1:7" x14ac:dyDescent="0.2">
      <c r="A208" s="2">
        <v>43404</v>
      </c>
      <c r="B208" s="8">
        <f>'Final Data'!I208</f>
        <v>2.1023862083464732E-2</v>
      </c>
      <c r="C208" s="8">
        <f>'3.8 Data EUR#USD'!F209/100</f>
        <v>1.3480473645477607E-2</v>
      </c>
      <c r="D208" s="8">
        <f>'3.8 Data EUR#USD'!G209/100</f>
        <v>1.6044201215837078E-2</v>
      </c>
      <c r="E208" s="8">
        <v>-1.9562144E-2</v>
      </c>
      <c r="F208" s="8">
        <v>-3.6530079999999997E-3</v>
      </c>
      <c r="G208" s="8">
        <v>5.3609949999999996E-2</v>
      </c>
    </row>
    <row r="209" spans="1:7" x14ac:dyDescent="0.2">
      <c r="A209" s="2">
        <v>43434</v>
      </c>
      <c r="B209" s="8">
        <f>'Final Data'!I209</f>
        <v>1.4413672397817418E-3</v>
      </c>
      <c r="C209" s="8">
        <f>'3.8 Data EUR#USD'!F210/100</f>
        <v>1.3480473645477607E-2</v>
      </c>
      <c r="D209" s="8">
        <f>'3.8 Data EUR#USD'!G210/100</f>
        <v>1.6044201215837078E-2</v>
      </c>
      <c r="E209" s="8">
        <v>-1.9760125999999999E-2</v>
      </c>
      <c r="F209" s="8">
        <v>-2.7903860000000002E-3</v>
      </c>
      <c r="G209" s="8">
        <v>4.9729136E-2</v>
      </c>
    </row>
    <row r="210" spans="1:7" x14ac:dyDescent="0.2">
      <c r="A210" s="2">
        <v>43465</v>
      </c>
      <c r="B210" s="8">
        <f>'Final Data'!I210</f>
        <v>-1.130872828210131E-2</v>
      </c>
      <c r="C210" s="8">
        <f>'3.8 Data EUR#USD'!F211/100</f>
        <v>1.2949993490453537E-2</v>
      </c>
      <c r="D210" s="8">
        <f>'3.8 Data EUR#USD'!G211/100</f>
        <v>1.462024416918075E-2</v>
      </c>
      <c r="E210" s="8">
        <v>-1.8468442399999997E-2</v>
      </c>
      <c r="F210" s="8">
        <v>-4.8311269999999993E-3</v>
      </c>
      <c r="G210" s="8">
        <v>5.0400592999999994E-2</v>
      </c>
    </row>
    <row r="211" spans="1:7" x14ac:dyDescent="0.2">
      <c r="A211" s="2">
        <v>43496</v>
      </c>
      <c r="B211" s="8">
        <f>'Final Data'!I211</f>
        <v>-6.1349693251534099E-3</v>
      </c>
      <c r="C211" s="8">
        <f>'3.8 Data EUR#USD'!F212/100</f>
        <v>1.2949993490453537E-2</v>
      </c>
      <c r="D211" s="8">
        <f>'3.8 Data EUR#USD'!G212/100</f>
        <v>1.462024416918075E-2</v>
      </c>
      <c r="E211" s="8">
        <v>-1.7991387399999999E-2</v>
      </c>
      <c r="F211" s="8">
        <v>-1.9076380000000003E-3</v>
      </c>
      <c r="G211" s="8">
        <v>6.6497228000000005E-2</v>
      </c>
    </row>
    <row r="212" spans="1:7" x14ac:dyDescent="0.2">
      <c r="A212" s="2">
        <v>43524</v>
      </c>
      <c r="B212" s="8">
        <f>'Final Data'!I212</f>
        <v>6.0682151077631127E-3</v>
      </c>
      <c r="C212" s="8">
        <f>'3.8 Data EUR#USD'!F213/100</f>
        <v>1.2949993490453537E-2</v>
      </c>
      <c r="D212" s="8">
        <f>'3.8 Data EUR#USD'!G213/100</f>
        <v>1.462024416918075E-2</v>
      </c>
      <c r="E212" s="8">
        <v>-1.8316486E-2</v>
      </c>
      <c r="F212" s="8">
        <v>-1.0882499999999996E-3</v>
      </c>
      <c r="G212" s="8">
        <v>6.1829235000000003E-2</v>
      </c>
    </row>
    <row r="213" spans="1:7" x14ac:dyDescent="0.2">
      <c r="A213" s="2">
        <v>43555</v>
      </c>
      <c r="B213" s="8">
        <f>'Final Data'!I213</f>
        <v>1.1647254575707202E-2</v>
      </c>
      <c r="C213" s="8">
        <f>'3.8 Data EUR#USD'!F214/100</f>
        <v>1.4172367741555369E-2</v>
      </c>
      <c r="D213" s="8">
        <f>'3.8 Data EUR#USD'!G214/100</f>
        <v>1.4314896534297466E-2</v>
      </c>
      <c r="E213" s="8">
        <v>-1.8293139999999999E-2</v>
      </c>
      <c r="F213" s="8">
        <v>-3.6772840000000007E-3</v>
      </c>
      <c r="G213" s="8">
        <v>7.0604898999999999E-2</v>
      </c>
    </row>
    <row r="214" spans="1:7" x14ac:dyDescent="0.2">
      <c r="A214" s="2">
        <v>43585</v>
      </c>
      <c r="B214" s="8">
        <f>'Final Data'!I214</f>
        <v>2.0559210526316083E-3</v>
      </c>
      <c r="C214" s="8">
        <f>'3.8 Data EUR#USD'!F215/100</f>
        <v>1.4172367741555369E-2</v>
      </c>
      <c r="D214" s="8">
        <f>'3.8 Data EUR#USD'!G215/100</f>
        <v>1.4314896534297466E-2</v>
      </c>
      <c r="E214" s="8">
        <v>-1.8479006999999999E-2</v>
      </c>
      <c r="F214" s="8">
        <v>-3.7767320000000005E-3</v>
      </c>
      <c r="G214" s="8">
        <v>3.7204176999999998E-2</v>
      </c>
    </row>
    <row r="215" spans="1:7" x14ac:dyDescent="0.2">
      <c r="A215" s="2">
        <v>43616</v>
      </c>
      <c r="B215" s="8">
        <f>'Final Data'!I215</f>
        <v>2.7697989331144442E-3</v>
      </c>
      <c r="C215" s="8">
        <f>'3.8 Data EUR#USD'!F216/100</f>
        <v>1.4172367741555369E-2</v>
      </c>
      <c r="D215" s="8">
        <f>'3.8 Data EUR#USD'!G216/100</f>
        <v>1.4314896534297466E-2</v>
      </c>
      <c r="E215" s="8">
        <v>-1.7762205500000003E-2</v>
      </c>
      <c r="F215" s="8">
        <v>-4.6927319999999998E-3</v>
      </c>
      <c r="G215" s="8">
        <v>4.6112165999999996E-2</v>
      </c>
    </row>
    <row r="216" spans="1:7" x14ac:dyDescent="0.2">
      <c r="A216" s="2">
        <v>43646</v>
      </c>
      <c r="B216" s="8">
        <f>'Final Data'!I216</f>
        <v>-1.6572890025575493E-2</v>
      </c>
      <c r="C216" s="8">
        <f>'3.8 Data EUR#USD'!F217/100</f>
        <v>1.3927937015530105E-2</v>
      </c>
      <c r="D216" s="8">
        <f>'3.8 Data EUR#USD'!G217/100</f>
        <v>1.4800687057220539E-2</v>
      </c>
      <c r="E216" s="8">
        <v>-1.7080306E-2</v>
      </c>
      <c r="F216" s="8">
        <v>-3.8538159999999986E-3</v>
      </c>
      <c r="G216" s="8">
        <v>4.4088738000000002E-2</v>
      </c>
    </row>
    <row r="217" spans="1:7" x14ac:dyDescent="0.2">
      <c r="A217" s="2">
        <v>43677</v>
      </c>
      <c r="B217" s="8">
        <f>'Final Data'!I217</f>
        <v>2.4862165817122653E-2</v>
      </c>
      <c r="C217" s="8">
        <f>'3.8 Data EUR#USD'!F218/100</f>
        <v>1.3927937015530105E-2</v>
      </c>
      <c r="D217" s="8">
        <f>'3.8 Data EUR#USD'!G218/100</f>
        <v>1.4800687057220539E-2</v>
      </c>
      <c r="E217" s="8">
        <v>-1.8892342000000003E-2</v>
      </c>
      <c r="F217" s="8">
        <v>-6.6312370000000008E-3</v>
      </c>
      <c r="G217" s="8">
        <v>6.1840046999999988E-2</v>
      </c>
    </row>
    <row r="218" spans="1:7" x14ac:dyDescent="0.2">
      <c r="A218" s="2">
        <v>43708</v>
      </c>
      <c r="B218" s="8">
        <f>'Final Data'!I218</f>
        <v>4.0600893219651414E-3</v>
      </c>
      <c r="C218" s="8">
        <f>'3.8 Data EUR#USD'!F219/100</f>
        <v>1.3927937015530105E-2</v>
      </c>
      <c r="D218" s="8">
        <f>'3.8 Data EUR#USD'!G219/100</f>
        <v>1.4800687057220539E-2</v>
      </c>
      <c r="E218" s="8">
        <v>-1.7233907460000003E-2</v>
      </c>
      <c r="F218" s="8">
        <v>-5.899231999999999E-3</v>
      </c>
      <c r="G218" s="8">
        <v>6.668597200000001E-2</v>
      </c>
    </row>
    <row r="219" spans="1:7" x14ac:dyDescent="0.2">
      <c r="A219" s="2">
        <v>43738</v>
      </c>
      <c r="B219" s="8">
        <f>'Final Data'!I219</f>
        <v>4.6502224019408988E-3</v>
      </c>
      <c r="C219" s="8">
        <f>'3.8 Data EUR#USD'!F220/100</f>
        <v>1.4149080504789279E-2</v>
      </c>
      <c r="D219" s="8">
        <f>'3.8 Data EUR#USD'!G220/100</f>
        <v>1.5600942305560462E-2</v>
      </c>
      <c r="E219" s="8">
        <v>-1.8159068149999999E-2</v>
      </c>
      <c r="F219" s="8">
        <v>-7.4390863000000007E-3</v>
      </c>
      <c r="G219" s="8">
        <v>6.2089911999999997E-2</v>
      </c>
    </row>
    <row r="220" spans="1:7" x14ac:dyDescent="0.2">
      <c r="A220" s="2">
        <v>43769</v>
      </c>
      <c r="B220" s="8">
        <f>'Final Data'!I220</f>
        <v>-2.0426645200241511E-2</v>
      </c>
      <c r="C220" s="8">
        <f>'3.8 Data EUR#USD'!F221/100</f>
        <v>1.4149080504789279E-2</v>
      </c>
      <c r="D220" s="8">
        <f>'3.8 Data EUR#USD'!G221/100</f>
        <v>1.5600942305560462E-2</v>
      </c>
      <c r="E220" s="8">
        <v>-1.7429107329999999E-2</v>
      </c>
      <c r="F220" s="8">
        <v>-8.8698404000000005E-3</v>
      </c>
      <c r="G220" s="8">
        <v>3.6669976E-2</v>
      </c>
    </row>
    <row r="221" spans="1:7" x14ac:dyDescent="0.2">
      <c r="A221" s="2">
        <v>43799</v>
      </c>
      <c r="B221" s="8">
        <f>'Final Data'!I221</f>
        <v>9.4504365690806554E-3</v>
      </c>
      <c r="C221" s="8">
        <f>'3.8 Data EUR#USD'!F222/100</f>
        <v>1.4149080504789279E-2</v>
      </c>
      <c r="D221" s="8">
        <f>'3.8 Data EUR#USD'!G222/100</f>
        <v>1.5600942305560462E-2</v>
      </c>
      <c r="E221" s="8">
        <v>-1.71136793E-2</v>
      </c>
      <c r="F221" s="8">
        <v>-1.1642948E-2</v>
      </c>
      <c r="G221" s="8">
        <v>3.4587512000000001E-2</v>
      </c>
    </row>
    <row r="222" spans="1:7" x14ac:dyDescent="0.2">
      <c r="A222" s="2">
        <v>43830</v>
      </c>
      <c r="B222" s="8">
        <f>'Final Data'!I222</f>
        <v>-1.913096570672632E-2</v>
      </c>
      <c r="C222" s="8">
        <f>'3.8 Data EUR#USD'!F223/100</f>
        <v>1.2948905558884984E-2</v>
      </c>
      <c r="D222" s="8">
        <f>'3.8 Data EUR#USD'!G223/100</f>
        <v>1.6326070916365853E-2</v>
      </c>
      <c r="E222" s="8">
        <v>-1.6882932E-2</v>
      </c>
      <c r="F222" s="8">
        <v>-9.9347239999999972E-3</v>
      </c>
      <c r="G222" s="8">
        <v>3.3545316999999998E-2</v>
      </c>
    </row>
    <row r="223" spans="1:7" x14ac:dyDescent="0.2">
      <c r="A223" s="2">
        <v>43861</v>
      </c>
      <c r="B223" s="8">
        <f>'Final Data'!I223</f>
        <v>1.0374520178441747E-2</v>
      </c>
      <c r="C223" s="8">
        <f>'3.8 Data EUR#USD'!F224/100</f>
        <v>1.2948905558884984E-2</v>
      </c>
      <c r="D223" s="8">
        <f>'3.8 Data EUR#USD'!G224/100</f>
        <v>1.6326070916365853E-2</v>
      </c>
      <c r="E223" s="8">
        <v>-1.6202858600000002E-2</v>
      </c>
      <c r="F223" s="8">
        <v>-1.2154866E-2</v>
      </c>
      <c r="G223" s="8">
        <v>2.2334659399999998E-2</v>
      </c>
    </row>
    <row r="224" spans="1:7" x14ac:dyDescent="0.2">
      <c r="A224" s="2">
        <v>43890</v>
      </c>
      <c r="B224" s="8">
        <f>'Final Data'!I224</f>
        <v>7.5983160488756023E-3</v>
      </c>
      <c r="C224" s="8">
        <f>'3.8 Data EUR#USD'!F225/100</f>
        <v>1.2948905558884984E-2</v>
      </c>
      <c r="D224" s="8">
        <f>'3.8 Data EUR#USD'!G225/100</f>
        <v>1.6326070916365853E-2</v>
      </c>
      <c r="E224" s="8">
        <v>-1.543993993E-2</v>
      </c>
      <c r="F224" s="8">
        <v>-1.1087949E-2</v>
      </c>
      <c r="G224" s="8">
        <v>3.263804E-2</v>
      </c>
    </row>
    <row r="225" spans="1:7" x14ac:dyDescent="0.2">
      <c r="A225" s="2">
        <v>43921</v>
      </c>
      <c r="B225" s="8">
        <f>'Final Data'!I225</f>
        <v>9.3753184551105852E-3</v>
      </c>
      <c r="C225" s="8">
        <f>'3.8 Data EUR#USD'!F226/100</f>
        <v>-1.2386051997862323E-2</v>
      </c>
      <c r="D225" s="8">
        <f>'3.8 Data EUR#USD'!G226/100</f>
        <v>1.3162423742811851E-2</v>
      </c>
      <c r="E225" s="8">
        <v>-7.5204740599999998E-3</v>
      </c>
      <c r="F225" s="8">
        <v>-6.9333479999999989E-3</v>
      </c>
      <c r="G225" s="8">
        <v>2.698509E-2</v>
      </c>
    </row>
    <row r="226" spans="1:7" x14ac:dyDescent="0.2">
      <c r="A226" s="2">
        <v>43951</v>
      </c>
      <c r="B226" s="8">
        <f>'Final Data'!I226</f>
        <v>-3.0287733467946633E-4</v>
      </c>
      <c r="C226" s="8">
        <f>'3.8 Data EUR#USD'!F227/100</f>
        <v>-1.2386051997862323E-2</v>
      </c>
      <c r="D226" s="8">
        <f>'3.8 Data EUR#USD'!G227/100</f>
        <v>1.3162423742811851E-2</v>
      </c>
      <c r="E226" s="8">
        <v>-3.9617749999999998E-3</v>
      </c>
      <c r="F226" s="8">
        <v>1.0665319E-3</v>
      </c>
      <c r="G226" s="8">
        <v>4.0878827999999999E-2</v>
      </c>
    </row>
    <row r="227" spans="1:7" x14ac:dyDescent="0.2">
      <c r="A227" s="2">
        <v>43982</v>
      </c>
      <c r="B227" s="8">
        <f>'Final Data'!I227</f>
        <v>-6.8672995354473101E-3</v>
      </c>
      <c r="C227" s="8">
        <f>'3.8 Data EUR#USD'!F228/100</f>
        <v>-1.2386051997862323E-2</v>
      </c>
      <c r="D227" s="8">
        <f>'3.8 Data EUR#USD'!G228/100</f>
        <v>1.3162423742811851E-2</v>
      </c>
      <c r="E227" s="8">
        <v>-4.8743024999999994E-3</v>
      </c>
      <c r="F227" s="8">
        <v>5.4784389999999988E-4</v>
      </c>
      <c r="G227" s="8">
        <v>4.6097433E-2</v>
      </c>
    </row>
    <row r="228" spans="1:7" x14ac:dyDescent="0.2">
      <c r="A228" s="2">
        <v>44012</v>
      </c>
      <c r="B228" s="8">
        <f>'Final Data'!I228</f>
        <v>-9.660362009355326E-3</v>
      </c>
      <c r="C228" s="8">
        <f>'3.8 Data EUR#USD'!F229/100</f>
        <v>-2.3524305018199226E-2</v>
      </c>
      <c r="D228" s="8">
        <f>'3.8 Data EUR#USD'!G229/100</f>
        <v>-1.866501384529522E-2</v>
      </c>
      <c r="E228" s="8">
        <v>-6.0617112000000009E-3</v>
      </c>
      <c r="F228" s="8">
        <v>-2.9081839000000003E-3</v>
      </c>
      <c r="G228" s="8">
        <v>5.6818089000000002E-2</v>
      </c>
    </row>
    <row r="229" spans="1:7" x14ac:dyDescent="0.2">
      <c r="A229" s="2">
        <v>44043</v>
      </c>
      <c r="B229" s="8">
        <f>'Final Data'!I229</f>
        <v>-4.1482698428996878E-2</v>
      </c>
      <c r="C229" s="8">
        <f>'3.8 Data EUR#USD'!F230/100</f>
        <v>-2.3524305018199226E-2</v>
      </c>
      <c r="D229" s="8">
        <f>'3.8 Data EUR#USD'!G230/100</f>
        <v>-1.866501384529522E-2</v>
      </c>
      <c r="E229" s="8">
        <v>-6.1366084269999996E-3</v>
      </c>
      <c r="F229" s="8">
        <v>-7.0751389999999994E-3</v>
      </c>
      <c r="G229" s="8">
        <v>6.4330113000000008E-2</v>
      </c>
    </row>
    <row r="230" spans="1:7" x14ac:dyDescent="0.2">
      <c r="A230" s="2">
        <v>44074</v>
      </c>
      <c r="B230" s="8">
        <f>'Final Data'!I230</f>
        <v>-1.2961971076593399E-2</v>
      </c>
      <c r="C230" s="8">
        <f>'3.8 Data EUR#USD'!F231/100</f>
        <v>-2.3524305018199226E-2</v>
      </c>
      <c r="D230" s="8">
        <f>'3.8 Data EUR#USD'!G231/100</f>
        <v>-1.866501384529522E-2</v>
      </c>
      <c r="E230" s="8">
        <v>-6.880229800000001E-3</v>
      </c>
      <c r="F230" s="8">
        <v>-1.2470908599999999E-2</v>
      </c>
      <c r="G230" s="8">
        <v>6.4157204999999995E-2</v>
      </c>
    </row>
    <row r="231" spans="1:7" x14ac:dyDescent="0.2">
      <c r="A231" s="2">
        <v>44104</v>
      </c>
      <c r="B231" s="8">
        <f>'Final Data'!I231</f>
        <v>1.8992836987193402E-2</v>
      </c>
      <c r="C231" s="8">
        <f>'3.8 Data EUR#USD'!F232/100</f>
        <v>-1.4732629018880585E-2</v>
      </c>
      <c r="D231" s="8">
        <f>'3.8 Data EUR#USD'!G232/100</f>
        <v>-7.4465804164323213E-3</v>
      </c>
      <c r="E231" s="8">
        <v>-7.4540872400000006E-3</v>
      </c>
      <c r="F231" s="8">
        <v>-1.4032227939999999E-2</v>
      </c>
      <c r="G231" s="8">
        <v>6.3335413999999993E-2</v>
      </c>
    </row>
    <row r="232" spans="1:7" x14ac:dyDescent="0.2">
      <c r="A232" s="2">
        <v>44135</v>
      </c>
      <c r="B232" s="8">
        <f>'Final Data'!I232</f>
        <v>1.5976142294174638E-3</v>
      </c>
      <c r="C232" s="8">
        <f>'3.8 Data EUR#USD'!F233/100</f>
        <v>-1.4732629018880585E-2</v>
      </c>
      <c r="D232" s="8">
        <f>'3.8 Data EUR#USD'!G233/100</f>
        <v>-7.4465804164323213E-3</v>
      </c>
      <c r="E232" s="8">
        <v>-9.5002365000000002E-3</v>
      </c>
      <c r="F232" s="8">
        <v>-1.1982673900000001E-2</v>
      </c>
      <c r="G232" s="8">
        <v>7.2247801E-2</v>
      </c>
    </row>
    <row r="233" spans="1:7" x14ac:dyDescent="0.2">
      <c r="A233" s="2">
        <v>44165</v>
      </c>
      <c r="B233" s="8">
        <f>'Final Data'!I233</f>
        <v>-2.3075287111867307E-2</v>
      </c>
      <c r="C233" s="8">
        <f>'3.8 Data EUR#USD'!F234/100</f>
        <v>-1.4732629018880585E-2</v>
      </c>
      <c r="D233" s="8">
        <f>'3.8 Data EUR#USD'!G234/100</f>
        <v>-7.4465804164323213E-3</v>
      </c>
      <c r="E233" s="8">
        <v>-1.07845328E-2</v>
      </c>
      <c r="F233" s="8">
        <v>-1.1616107799999999E-2</v>
      </c>
      <c r="G233" s="8">
        <v>6.8107228000000006E-2</v>
      </c>
    </row>
    <row r="234" spans="1:7" x14ac:dyDescent="0.2">
      <c r="A234" s="2">
        <v>44196</v>
      </c>
      <c r="B234" s="8">
        <f>'Final Data'!I234</f>
        <v>-2.1007946010667321E-2</v>
      </c>
      <c r="C234" s="8">
        <f>'3.8 Data EUR#USD'!F235/100</f>
        <v>-1.4073162235459659E-2</v>
      </c>
      <c r="D234" s="8">
        <f>'3.8 Data EUR#USD'!G235/100</f>
        <v>-2.6368375431709682E-3</v>
      </c>
      <c r="E234" s="8">
        <v>-1.1646827E-2</v>
      </c>
      <c r="F234" s="8">
        <v>-1.3277968712000002E-2</v>
      </c>
      <c r="G234" s="8">
        <v>6.7417932999999999E-2</v>
      </c>
    </row>
    <row r="235" spans="1:7" x14ac:dyDescent="0.2">
      <c r="A235" s="2">
        <v>44227</v>
      </c>
      <c r="B235" s="8">
        <f>'Final Data'!I235</f>
        <v>7.1158550144540872E-3</v>
      </c>
      <c r="C235" s="8">
        <f>'3.8 Data EUR#USD'!F236/100</f>
        <v>-1.4073162235459659E-2</v>
      </c>
      <c r="D235" s="8">
        <f>'3.8 Data EUR#USD'!G236/100</f>
        <v>-2.6368375431709682E-3</v>
      </c>
      <c r="E235" s="8">
        <v>-1.2726268699999998E-2</v>
      </c>
      <c r="F235" s="8">
        <v>-5.868285E-3</v>
      </c>
      <c r="G235" s="8">
        <v>7.991165900000001E-2</v>
      </c>
    </row>
    <row r="236" spans="1:7" x14ac:dyDescent="0.2">
      <c r="A236" s="2">
        <v>44255</v>
      </c>
      <c r="B236" s="8">
        <f>'Final Data'!I236</f>
        <v>3.3119894016338833E-3</v>
      </c>
      <c r="C236" s="8">
        <f>'3.8 Data EUR#USD'!F237/100</f>
        <v>-1.4073162235459659E-2</v>
      </c>
      <c r="D236" s="8">
        <f>'3.8 Data EUR#USD'!G237/100</f>
        <v>-2.6368375431709682E-3</v>
      </c>
      <c r="E236" s="8">
        <v>-1.3241905199999999E-2</v>
      </c>
      <c r="F236" s="8">
        <v>-8.2765210000000002E-3</v>
      </c>
      <c r="G236" s="8">
        <v>7.9835169000000011E-2</v>
      </c>
    </row>
    <row r="237" spans="1:7" x14ac:dyDescent="0.2">
      <c r="A237" s="2">
        <v>44286</v>
      </c>
      <c r="B237" s="8">
        <f>'Final Data'!I237</f>
        <v>2.5858274647887418E-2</v>
      </c>
      <c r="C237" s="8">
        <f>'3.8 Data EUR#USD'!F238/100</f>
        <v>1.1890744562812311E-2</v>
      </c>
      <c r="D237" s="8">
        <f>'3.8 Data EUR#USD'!G238/100</f>
        <v>1.4035336245860515E-2</v>
      </c>
      <c r="E237" s="8">
        <v>-1.6028950989999999E-2</v>
      </c>
      <c r="F237" s="8">
        <v>-1.2754449999999999E-2</v>
      </c>
      <c r="G237" s="8">
        <v>8.1005628999999996E-2</v>
      </c>
    </row>
    <row r="238" spans="1:7" x14ac:dyDescent="0.2">
      <c r="A238" s="2">
        <v>44316</v>
      </c>
      <c r="B238" s="8">
        <f>'Final Data'!I238</f>
        <v>-2.0916014158532691E-2</v>
      </c>
      <c r="C238" s="8">
        <f>'3.8 Data EUR#USD'!F239/100</f>
        <v>1.1890744562812311E-2</v>
      </c>
      <c r="D238" s="8">
        <f>'3.8 Data EUR#USD'!G239/100</f>
        <v>1.4035336245860515E-2</v>
      </c>
      <c r="E238" s="8">
        <v>-1.5465005299999999E-2</v>
      </c>
      <c r="F238" s="8">
        <v>-2.5141607E-2</v>
      </c>
      <c r="G238" s="8">
        <v>8.1588203999999998E-2</v>
      </c>
    </row>
    <row r="239" spans="1:7" x14ac:dyDescent="0.2">
      <c r="A239" s="2">
        <v>44347</v>
      </c>
      <c r="B239" s="8">
        <f>'Final Data'!I239</f>
        <v>-1.3694127957931639E-2</v>
      </c>
      <c r="C239" s="8">
        <f>'3.8 Data EUR#USD'!F240/100</f>
        <v>1.1890744562812311E-2</v>
      </c>
      <c r="D239" s="8">
        <f>'3.8 Data EUR#USD'!G240/100</f>
        <v>1.4035336245860515E-2</v>
      </c>
      <c r="E239" s="8">
        <v>-1.38800825E-2</v>
      </c>
      <c r="F239" s="8">
        <v>-2.9900327999999997E-2</v>
      </c>
      <c r="G239" s="8">
        <v>7.6978681000000007E-2</v>
      </c>
    </row>
    <row r="240" spans="1:7" x14ac:dyDescent="0.2">
      <c r="A240" s="2">
        <v>44377</v>
      </c>
      <c r="B240" s="8">
        <f>'Final Data'!I240</f>
        <v>2.6768854826169017E-2</v>
      </c>
      <c r="C240" s="8">
        <f>'3.8 Data EUR#USD'!F241/100</f>
        <v>2.557590913981149E-2</v>
      </c>
      <c r="D240" s="8">
        <f>'3.8 Data EUR#USD'!G241/100</f>
        <v>2.3656766892583069E-2</v>
      </c>
      <c r="E240" s="8">
        <v>-1.3530009399999997E-2</v>
      </c>
      <c r="F240" s="8">
        <v>-3.3432598000000001E-2</v>
      </c>
      <c r="G240" s="8">
        <v>7.7615013999999996E-2</v>
      </c>
    </row>
    <row r="241" spans="1:7" x14ac:dyDescent="0.2">
      <c r="A241" s="2">
        <v>44408</v>
      </c>
      <c r="B241" s="8">
        <f>'Final Data'!I241</f>
        <v>-2.9208135006490265E-3</v>
      </c>
      <c r="C241" s="8">
        <f>'3.8 Data EUR#USD'!F242/100</f>
        <v>2.557590913981149E-2</v>
      </c>
      <c r="D241" s="8">
        <f>'3.8 Data EUR#USD'!G242/100</f>
        <v>2.3656766892583069E-2</v>
      </c>
      <c r="E241" s="8">
        <v>-1.300590607E-2</v>
      </c>
      <c r="F241" s="8">
        <v>-2.8596673E-2</v>
      </c>
      <c r="G241" s="8">
        <v>8.306390700000002E-2</v>
      </c>
    </row>
    <row r="242" spans="1:7" x14ac:dyDescent="0.2">
      <c r="A242" s="2">
        <v>44439</v>
      </c>
      <c r="B242" s="8">
        <f>'Final Data'!I242</f>
        <v>4.9907779103829202E-3</v>
      </c>
      <c r="C242" s="8">
        <f>'3.8 Data EUR#USD'!F243/100</f>
        <v>2.557590913981149E-2</v>
      </c>
      <c r="D242" s="8">
        <f>'3.8 Data EUR#USD'!G243/100</f>
        <v>2.3656766892583069E-2</v>
      </c>
      <c r="E242" s="8">
        <v>-1.3674683199999999E-2</v>
      </c>
      <c r="F242" s="8">
        <v>-2.3682457000000001E-2</v>
      </c>
      <c r="G242" s="8">
        <v>7.9700474000000007E-2</v>
      </c>
    </row>
    <row r="243" spans="1:7" x14ac:dyDescent="0.2">
      <c r="A243" s="2">
        <v>44469</v>
      </c>
      <c r="B243" s="8">
        <f>'Final Data'!I243</f>
        <v>1.7273021699233601E-2</v>
      </c>
      <c r="C243" s="8">
        <f>'3.8 Data EUR#USD'!F244/100</f>
        <v>1.8675618562724244E-2</v>
      </c>
      <c r="D243" s="8">
        <f>'3.8 Data EUR#USD'!G244/100</f>
        <v>1.8147401166451135E-2</v>
      </c>
      <c r="E243" s="8">
        <v>-1.3139157099999998E-2</v>
      </c>
      <c r="F243" s="8">
        <v>-2.1470945000000002E-2</v>
      </c>
      <c r="G243" s="8">
        <v>8.0466830999999989E-2</v>
      </c>
    </row>
    <row r="244" spans="1:7" x14ac:dyDescent="0.2">
      <c r="A244" s="2">
        <v>44500</v>
      </c>
      <c r="B244" s="8">
        <f>'Final Data'!I244</f>
        <v>-1.167356468216061E-3</v>
      </c>
      <c r="C244" s="8">
        <f>'3.8 Data EUR#USD'!F245/100</f>
        <v>1.8675618562724244E-2</v>
      </c>
      <c r="D244" s="8">
        <f>'3.8 Data EUR#USD'!G245/100</f>
        <v>1.8147401166451135E-2</v>
      </c>
      <c r="E244" s="8">
        <v>-1.36167995E-2</v>
      </c>
      <c r="F244" s="8">
        <v>-2.4031265E-2</v>
      </c>
      <c r="G244" s="8">
        <v>6.5522483000000006E-2</v>
      </c>
    </row>
    <row r="245" spans="1:7" x14ac:dyDescent="0.2">
      <c r="A245" s="2">
        <v>44530</v>
      </c>
      <c r="B245" s="8">
        <f>'Final Data'!I245</f>
        <v>1.9868253293667554E-2</v>
      </c>
      <c r="C245" s="8">
        <f>'3.8 Data EUR#USD'!F246/100</f>
        <v>1.8675618562724244E-2</v>
      </c>
      <c r="D245" s="8">
        <f>'3.8 Data EUR#USD'!G246/100</f>
        <v>1.8147401166451135E-2</v>
      </c>
      <c r="E245" s="8">
        <v>-1.4067674400000001E-2</v>
      </c>
      <c r="F245" s="8">
        <v>-2.4823500000000002E-2</v>
      </c>
      <c r="G245" s="8">
        <v>6.3239900000000002E-2</v>
      </c>
    </row>
    <row r="246" spans="1:7" x14ac:dyDescent="0.2">
      <c r="A246" s="2">
        <v>44561</v>
      </c>
      <c r="B246" s="8">
        <f>'Final Data'!I246</f>
        <v>-2.0835503698297763E-4</v>
      </c>
      <c r="C246" s="8">
        <f>'3.8 Data EUR#USD'!F247/100</f>
        <v>1.913613063613382E-2</v>
      </c>
      <c r="D246" s="8">
        <f>'3.8 Data EUR#USD'!G247/100</f>
        <v>1.8873284764387446E-2</v>
      </c>
      <c r="E246" s="8">
        <v>-1.3493644149999999E-2</v>
      </c>
      <c r="F246" s="8">
        <v>-2.5293622000000005E-2</v>
      </c>
      <c r="G246" s="8">
        <v>5.0360714000000001E-2</v>
      </c>
    </row>
    <row r="247" spans="1:7" x14ac:dyDescent="0.2">
      <c r="A247" s="2">
        <v>44592</v>
      </c>
      <c r="B247" s="8">
        <f>'Final Data'!I247</f>
        <v>5.9393560487653162E-3</v>
      </c>
      <c r="C247" s="8">
        <f>'3.8 Data EUR#USD'!F248/100</f>
        <v>1.913613063613382E-2</v>
      </c>
      <c r="D247" s="8">
        <f>'3.8 Data EUR#USD'!G248/100</f>
        <v>1.8873284764387446E-2</v>
      </c>
      <c r="E247" s="8">
        <v>-1.4055295000000001E-2</v>
      </c>
      <c r="F247" s="8">
        <v>-2.8521773E-2</v>
      </c>
      <c r="G247" s="8">
        <v>7.3842634000000004E-2</v>
      </c>
    </row>
    <row r="248" spans="1:7" x14ac:dyDescent="0.2">
      <c r="A248" s="2">
        <v>44620</v>
      </c>
      <c r="B248" s="8">
        <f>'Final Data'!I248</f>
        <v>1.7609281126992696E-3</v>
      </c>
      <c r="C248" s="8">
        <f>'3.8 Data EUR#USD'!F249/100</f>
        <v>1.913613063613382E-2</v>
      </c>
      <c r="D248" s="8">
        <f>'3.8 Data EUR#USD'!G249/100</f>
        <v>1.8873284764387446E-2</v>
      </c>
      <c r="E248" s="8">
        <v>-1.2037360000000002E-2</v>
      </c>
      <c r="F248" s="8">
        <v>-2.6425873000000006E-2</v>
      </c>
      <c r="G248" s="8">
        <v>7.4751136999999995E-2</v>
      </c>
    </row>
    <row r="249" spans="1:7" x14ac:dyDescent="0.2">
      <c r="A249" s="2">
        <v>44651</v>
      </c>
      <c r="B249" s="8">
        <f>'Final Data'!I249</f>
        <v>1.6544307724123759E-2</v>
      </c>
      <c r="C249" s="8">
        <f>'3.8 Data EUR#USD'!F250/100</f>
        <v>1.8734121977102135E-2</v>
      </c>
      <c r="D249" s="8">
        <f>'3.8 Data EUR#USD'!G250/100</f>
        <v>1.711659526835518E-2</v>
      </c>
      <c r="E249" s="8">
        <v>-1.2710365E-2</v>
      </c>
      <c r="F249" s="8">
        <v>-1.8175100000000003E-2</v>
      </c>
      <c r="G249" s="8">
        <v>6.1298910999999998E-2</v>
      </c>
    </row>
    <row r="250" spans="1:7" x14ac:dyDescent="0.2">
      <c r="A250" s="2">
        <v>44681</v>
      </c>
      <c r="B250" s="8">
        <f>'Final Data'!I250</f>
        <v>4.7299359169972445E-2</v>
      </c>
      <c r="C250" s="8">
        <f>'3.8 Data EUR#USD'!F251/100</f>
        <v>1.8734121977102135E-2</v>
      </c>
      <c r="D250" s="8">
        <f>'3.8 Data EUR#USD'!G251/100</f>
        <v>1.711659526835518E-2</v>
      </c>
      <c r="E250" s="8">
        <v>-1.3888518000000001E-2</v>
      </c>
      <c r="F250" s="8">
        <v>-1.481973E-2</v>
      </c>
      <c r="G250" s="8">
        <v>4.3313469E-2</v>
      </c>
    </row>
    <row r="251" spans="1:7" x14ac:dyDescent="0.2">
      <c r="A251" s="2">
        <v>44712</v>
      </c>
      <c r="B251" s="8">
        <f>'Final Data'!I251</f>
        <v>-1.1752136752136691E-2</v>
      </c>
      <c r="C251" s="8">
        <f>'3.8 Data EUR#USD'!F252/100</f>
        <v>1.8734121977102135E-2</v>
      </c>
      <c r="D251" s="8">
        <f>'3.8 Data EUR#USD'!G252/100</f>
        <v>1.711659526835518E-2</v>
      </c>
      <c r="E251" s="8">
        <v>-1.2595717999999999E-2</v>
      </c>
      <c r="F251" s="8">
        <v>-1.2150680000000004E-2</v>
      </c>
      <c r="G251" s="8">
        <v>4.9104639700000001E-2</v>
      </c>
    </row>
    <row r="252" spans="1:7" x14ac:dyDescent="0.2">
      <c r="A252" s="2">
        <v>44742</v>
      </c>
      <c r="B252" s="8">
        <f>'Final Data'!I252</f>
        <v>2.8894348894348873E-2</v>
      </c>
      <c r="C252" s="8">
        <f>'3.8 Data EUR#USD'!F253/100</f>
        <v>1.7504661615280769E-2</v>
      </c>
      <c r="D252" s="8">
        <f>'3.8 Data EUR#USD'!G253/100</f>
        <v>1.5152456622908577E-2</v>
      </c>
      <c r="E252" s="8">
        <v>-9.827861000000002E-3</v>
      </c>
      <c r="F252" s="8">
        <v>-1.1825885000000005E-2</v>
      </c>
      <c r="G252" s="8">
        <v>4.5651092000000004E-2</v>
      </c>
    </row>
    <row r="253" spans="1:7" x14ac:dyDescent="0.2">
      <c r="A253" s="2">
        <v>44773</v>
      </c>
      <c r="B253" s="8">
        <f>'Final Data'!I253</f>
        <v>1.1557932944884974E-2</v>
      </c>
      <c r="C253" s="8">
        <f>'3.8 Data EUR#USD'!F254/100</f>
        <v>1.7504661615280769E-2</v>
      </c>
      <c r="D253" s="8">
        <f>'3.8 Data EUR#USD'!G254/100</f>
        <v>1.5152456622908577E-2</v>
      </c>
      <c r="E253" s="8">
        <v>-1.0833178000000001E-2</v>
      </c>
      <c r="F253" s="8">
        <v>-3.2996300000000113E-3</v>
      </c>
      <c r="G253" s="8">
        <v>3.1427355800000001E-2</v>
      </c>
    </row>
    <row r="254" spans="1:7" x14ac:dyDescent="0.2">
      <c r="A254" s="2">
        <v>44804</v>
      </c>
      <c r="B254" s="8">
        <f>'Final Data'!I254</f>
        <v>2.6440037771482502E-2</v>
      </c>
      <c r="C254" s="8">
        <f>'3.8 Data EUR#USD'!F255/100</f>
        <v>1.7504661615280769E-2</v>
      </c>
      <c r="D254" s="8">
        <f>'3.8 Data EUR#USD'!G255/100</f>
        <v>1.5152456622908577E-2</v>
      </c>
      <c r="E254" s="8">
        <v>-1.0923370999999998E-2</v>
      </c>
      <c r="F254" s="8">
        <v>8.6642999999998695E-4</v>
      </c>
      <c r="G254" s="8">
        <v>3.0058487400000004E-2</v>
      </c>
    </row>
    <row r="255" spans="1:7" x14ac:dyDescent="0.2">
      <c r="A255" s="2">
        <v>44834</v>
      </c>
      <c r="B255" s="8">
        <f>'Final Data'!I255</f>
        <v>3.1462741490340403E-2</v>
      </c>
      <c r="C255" s="8">
        <f>'3.8 Data EUR#USD'!F256/100</f>
        <v>1.5847323268322625E-2</v>
      </c>
      <c r="D255" s="8">
        <f>'3.8 Data EUR#USD'!G256/100</f>
        <v>1.4882754246254626E-2</v>
      </c>
      <c r="E255" s="8">
        <v>-9.6112870000000013E-3</v>
      </c>
      <c r="F255" s="8">
        <v>7.6507349999999971E-3</v>
      </c>
      <c r="G255" s="8">
        <v>3.8722440600000005E-2</v>
      </c>
    </row>
    <row r="256" spans="1:7" x14ac:dyDescent="0.2">
      <c r="A256" s="2">
        <v>44865</v>
      </c>
      <c r="B256" s="8">
        <f>'Final Data'!I256</f>
        <v>-5.2622190510167978E-3</v>
      </c>
      <c r="C256" s="8">
        <f>'3.8 Data EUR#USD'!F257/100</f>
        <v>1.5847323268322625E-2</v>
      </c>
      <c r="D256" s="8">
        <f>'3.8 Data EUR#USD'!G257/100</f>
        <v>1.4882754246254626E-2</v>
      </c>
      <c r="E256" s="8">
        <v>-1.0542995999999997E-2</v>
      </c>
      <c r="F256" s="8">
        <v>1.7774830000000002E-2</v>
      </c>
      <c r="G256" s="8">
        <v>5.3293388000000004E-2</v>
      </c>
    </row>
    <row r="257" spans="1:7" x14ac:dyDescent="0.2">
      <c r="A257" s="2">
        <v>44895</v>
      </c>
      <c r="B257" s="8">
        <f>'Final Data'!I257</f>
        <v>-5.003138169102482E-2</v>
      </c>
      <c r="C257" s="8">
        <f>'3.8 Data EUR#USD'!F258/100</f>
        <v>1.5847323268322625E-2</v>
      </c>
      <c r="D257" s="8">
        <f>'3.8 Data EUR#USD'!G258/100</f>
        <v>1.4882754246254626E-2</v>
      </c>
      <c r="E257" s="8">
        <v>-1.1636518999999996E-2</v>
      </c>
      <c r="F257" s="8">
        <v>1.8919025000000006E-2</v>
      </c>
      <c r="G257" s="8">
        <v>5.3358743000000007E-2</v>
      </c>
    </row>
    <row r="258" spans="1:7" x14ac:dyDescent="0.2">
      <c r="A258" s="2">
        <v>44926</v>
      </c>
      <c r="B258" s="8">
        <f>'Final Data'!I258</f>
        <v>-2.2935346861727293E-2</v>
      </c>
      <c r="C258" s="8">
        <f>'3.8 Data EUR#USD'!F259/100</f>
        <v>1.4630049295072245E-2</v>
      </c>
      <c r="D258" s="8">
        <f>'3.8 Data EUR#USD'!G259/100</f>
        <v>1.3231142606487591E-2</v>
      </c>
      <c r="E258" s="8">
        <v>-8.4979540000000003E-3</v>
      </c>
      <c r="F258" s="8">
        <v>2.0812890000000007E-2</v>
      </c>
      <c r="G258" s="8">
        <v>4.7194262000000001E-2</v>
      </c>
    </row>
    <row r="259" spans="1:7" x14ac:dyDescent="0.2">
      <c r="A259" s="2">
        <v>44957</v>
      </c>
      <c r="B259" s="8">
        <f>'Final Data'!I259</f>
        <v>-1.371715610510048E-2</v>
      </c>
      <c r="C259" s="8">
        <f>'3.8 Data EUR#USD'!F260/100</f>
        <v>1.4630049295072245E-2</v>
      </c>
      <c r="D259" s="8">
        <f>'3.8 Data EUR#USD'!G260/100</f>
        <v>1.3231142606487591E-2</v>
      </c>
      <c r="E259" s="8">
        <v>-7.2393960000000004E-3</v>
      </c>
      <c r="F259" s="8">
        <v>1.8562666000000005E-2</v>
      </c>
      <c r="G259" s="8">
        <v>5.0813262999999997E-2</v>
      </c>
    </row>
    <row r="260" spans="1:7" x14ac:dyDescent="0.2">
      <c r="A260" s="2">
        <v>44985</v>
      </c>
      <c r="B260" s="8">
        <f>'Final Data'!I260</f>
        <v>2.7130264446621061E-2</v>
      </c>
      <c r="C260" s="8">
        <f>'3.8 Data EUR#USD'!F261/100</f>
        <v>1.4630049295072245E-2</v>
      </c>
      <c r="D260" s="8">
        <f>'3.8 Data EUR#USD'!G261/100</f>
        <v>1.3231142606487591E-2</v>
      </c>
      <c r="E260" s="8">
        <v>-7.3587939999999992E-3</v>
      </c>
      <c r="F260" s="8">
        <v>2.1231090000000005E-2</v>
      </c>
      <c r="G260" s="8">
        <v>6.0187085000000001E-2</v>
      </c>
    </row>
    <row r="261" spans="1:7" x14ac:dyDescent="0.2">
      <c r="A261" s="2">
        <v>45016</v>
      </c>
      <c r="B261" s="8">
        <f>'Final Data'!I261</f>
        <v>-2.2504052636597684E-2</v>
      </c>
      <c r="C261" s="8">
        <f>'3.8 Data EUR#USD'!F262/100</f>
        <v>1.332893149833746E-2</v>
      </c>
      <c r="D261" s="8">
        <f>'3.8 Data EUR#USD'!G262/100</f>
        <v>1.4859139132822665E-2</v>
      </c>
      <c r="E261" s="8">
        <v>-6.4477089999999968E-3</v>
      </c>
      <c r="F261" s="8">
        <v>1.7104052999999998E-2</v>
      </c>
      <c r="G261" s="8">
        <v>6.2137317000000004E-2</v>
      </c>
    </row>
    <row r="262" spans="1:7" x14ac:dyDescent="0.2">
      <c r="A262" s="2">
        <v>45046</v>
      </c>
      <c r="B262" s="8">
        <f>'Final Data'!I262</f>
        <v>-8.2918739635158365E-3</v>
      </c>
      <c r="C262" s="8">
        <f>'3.8 Data EUR#USD'!F263/100</f>
        <v>1.332893149833746E-2</v>
      </c>
      <c r="D262" s="8">
        <f>'3.8 Data EUR#USD'!G263/100</f>
        <v>1.4859139132822665E-2</v>
      </c>
      <c r="E262" s="8">
        <v>-4.6113969999999997E-3</v>
      </c>
      <c r="F262" s="8">
        <v>1.7517326000000003E-2</v>
      </c>
      <c r="G262" s="8">
        <v>5.1877805000000006E-2</v>
      </c>
    </row>
    <row r="263" spans="1:7" x14ac:dyDescent="0.2">
      <c r="A263" s="2">
        <v>45077</v>
      </c>
      <c r="B263" s="8">
        <f>'Final Data'!I263</f>
        <v>2.6264017312610681E-2</v>
      </c>
      <c r="C263" s="8">
        <f>'3.8 Data EUR#USD'!F264/100</f>
        <v>1.332893149833746E-2</v>
      </c>
      <c r="D263" s="8">
        <f>'3.8 Data EUR#USD'!G264/100</f>
        <v>1.4859139132822665E-2</v>
      </c>
      <c r="E263" s="8">
        <v>-5.7188860000000029E-3</v>
      </c>
      <c r="F263" s="8">
        <v>1.8797835000000002E-2</v>
      </c>
      <c r="G263" s="8">
        <v>5.8127662999999996E-2</v>
      </c>
    </row>
    <row r="264" spans="1:7" x14ac:dyDescent="0.2">
      <c r="A264" s="2">
        <v>45107</v>
      </c>
      <c r="B264" s="8">
        <f>'Final Data'!I264</f>
        <v>-1.361065848749163E-2</v>
      </c>
      <c r="C264" s="8">
        <f>'3.8 Data EUR#USD'!F265/100</f>
        <v>1.1774831445936875E-2</v>
      </c>
      <c r="D264" s="8">
        <f>'3.8 Data EUR#USD'!G265/100</f>
        <v>1.5644992290422672E-2</v>
      </c>
      <c r="E264" s="8">
        <v>-7.5681299999999976E-3</v>
      </c>
      <c r="F264" s="8">
        <v>2.3565144000000003E-2</v>
      </c>
      <c r="G264" s="8">
        <v>5.9943802000000004E-2</v>
      </c>
    </row>
    <row r="265" spans="1:7" x14ac:dyDescent="0.2">
      <c r="A265" s="2">
        <v>45138</v>
      </c>
      <c r="B265" s="8">
        <f>'Final Data'!I265</f>
        <v>-1.0203090078709525E-2</v>
      </c>
      <c r="C265" s="8">
        <f>'3.8 Data EUR#USD'!F266/100</f>
        <v>1.1774831445936875E-2</v>
      </c>
      <c r="D265" s="8">
        <f>'3.8 Data EUR#USD'!G266/100</f>
        <v>1.5644992290422672E-2</v>
      </c>
      <c r="E265" s="8">
        <v>-8.0587920000000021E-3</v>
      </c>
      <c r="F265" s="8">
        <v>1.8330182E-2</v>
      </c>
      <c r="G265" s="8">
        <v>5.7358117E-2</v>
      </c>
    </row>
    <row r="266" spans="1:7" x14ac:dyDescent="0.2">
      <c r="A266" s="2">
        <v>45169</v>
      </c>
      <c r="B266" s="8">
        <f>'Final Data'!I266</f>
        <v>1.7278617710583203E-2</v>
      </c>
      <c r="C266" s="8">
        <f>'3.8 Data EUR#USD'!F267/100</f>
        <v>1.1774831445936875E-2</v>
      </c>
      <c r="D266" s="8">
        <f>'3.8 Data EUR#USD'!G267/100</f>
        <v>1.5644992290422672E-2</v>
      </c>
      <c r="E266" s="8">
        <v>-9.9775539999999996E-3</v>
      </c>
      <c r="F266" s="8">
        <v>1.3502206999999995E-2</v>
      </c>
      <c r="G266" s="8">
        <v>6.7689816999999999E-2</v>
      </c>
    </row>
    <row r="267" spans="1:7" x14ac:dyDescent="0.2">
      <c r="A267" s="2">
        <v>45199</v>
      </c>
      <c r="B267" s="8">
        <f>'Final Data'!I267</f>
        <v>2.5091681142636501E-2</v>
      </c>
      <c r="C267" s="8">
        <f>'3.8 Data EUR#USD'!F268/100</f>
        <v>1.0415521387329242E-2</v>
      </c>
      <c r="D267" s="8">
        <f>'3.8 Data EUR#USD'!G268/100</f>
        <v>1.6180448648406801E-2</v>
      </c>
      <c r="E267" s="8">
        <v>-1.0567833000000002E-2</v>
      </c>
      <c r="F267" s="8">
        <v>6.3167930000000002E-3</v>
      </c>
      <c r="G267" s="8">
        <v>6.4565945E-2</v>
      </c>
    </row>
    <row r="268" spans="1:7" x14ac:dyDescent="0.2">
      <c r="A268" s="2">
        <v>45230</v>
      </c>
      <c r="B268" s="8">
        <f>'Final Data'!I268</f>
        <v>4.1423460741856315E-3</v>
      </c>
      <c r="C268" s="8">
        <f>'3.8 Data EUR#USD'!F269/100</f>
        <v>1.0415521387329242E-2</v>
      </c>
      <c r="D268" s="8">
        <f>'3.8 Data EUR#USD'!G269/100</f>
        <v>1.6180448648406801E-2</v>
      </c>
      <c r="E268" s="8">
        <v>-1.2772239000000001E-2</v>
      </c>
      <c r="F268" s="8">
        <v>-1.591271999999999E-3</v>
      </c>
      <c r="G268" s="8">
        <v>6.3447706000000006E-2</v>
      </c>
    </row>
    <row r="269" spans="1:7" x14ac:dyDescent="0.2">
      <c r="A269" s="2">
        <v>45260</v>
      </c>
      <c r="B269" s="8">
        <f>'Final Data'!I269</f>
        <v>-2.9626851678229857E-2</v>
      </c>
      <c r="C269" s="8">
        <f>'3.8 Data EUR#USD'!F270/100</f>
        <v>1.0415521387329242E-2</v>
      </c>
      <c r="D269" s="8">
        <f>'3.8 Data EUR#USD'!G270/100</f>
        <v>1.6180448648406801E-2</v>
      </c>
      <c r="E269" s="8">
        <v>-1.266464E-2</v>
      </c>
      <c r="F269" s="8">
        <v>-3.957643000000002E-3</v>
      </c>
      <c r="G269" s="8">
        <v>6.8470158000000003E-2</v>
      </c>
    </row>
    <row r="270" spans="1:7" x14ac:dyDescent="0.2">
      <c r="A270" s="2">
        <v>45291</v>
      </c>
      <c r="B270" s="8">
        <f>'Final Data'!I270</f>
        <v>-2.0966183574879244E-2</v>
      </c>
      <c r="C270" s="8">
        <f>'3.8 Data EUR#USD'!F271/100</f>
        <v>1.0687454916308346E-2</v>
      </c>
      <c r="D270" s="8">
        <f>'3.8 Data EUR#USD'!G271/100</f>
        <v>1.6129424733692631E-2</v>
      </c>
      <c r="E270" s="8">
        <v>-1.3231120000000001E-2</v>
      </c>
      <c r="F270" s="8">
        <v>-3.9263860000000013E-3</v>
      </c>
      <c r="G270" s="8">
        <v>6.5324900000000005E-2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016A-4594-C844-BE24-A06B396F73CE}">
  <dimension ref="A1:J25"/>
  <sheetViews>
    <sheetView topLeftCell="D4" zoomScale="162" workbookViewId="0">
      <selection activeCell="H15" sqref="H15"/>
    </sheetView>
  </sheetViews>
  <sheetFormatPr baseColWidth="10" defaultRowHeight="16" x14ac:dyDescent="0.2"/>
  <cols>
    <col min="1" max="1" width="15.83203125" customWidth="1"/>
    <col min="2" max="2" width="16" customWidth="1"/>
    <col min="3" max="3" width="17" customWidth="1"/>
    <col min="4" max="4" width="21" customWidth="1"/>
    <col min="5" max="5" width="19" customWidth="1"/>
    <col min="6" max="6" width="9.1640625" customWidth="1"/>
    <col min="7" max="7" width="31.5" bestFit="1" customWidth="1"/>
    <col min="8" max="8" width="20.6640625" customWidth="1"/>
  </cols>
  <sheetData>
    <row r="1" spans="1:10" ht="17" thickBot="1" x14ac:dyDescent="0.25">
      <c r="A1" s="1" t="s">
        <v>0</v>
      </c>
      <c r="B1" s="4" t="str" cm="1">
        <f t="array" ref="B1:D1">'Final Data'!P1:R1</f>
        <v>ADP Returns</v>
      </c>
      <c r="C1" s="1" t="str">
        <v>S&amp;P500 Returns</v>
      </c>
      <c r="D1" s="1" t="str">
        <v>Exchange Rate Returns</v>
      </c>
      <c r="E1" s="1" t="s">
        <v>44</v>
      </c>
      <c r="F1" s="4"/>
      <c r="G1" s="18" t="s">
        <v>34</v>
      </c>
      <c r="H1" s="19"/>
    </row>
    <row r="2" spans="1:10" x14ac:dyDescent="0.2">
      <c r="A2" s="2">
        <v>45322</v>
      </c>
      <c r="B2" s="1"/>
      <c r="C2" s="3"/>
      <c r="D2" s="4"/>
      <c r="E2" s="11">
        <f>('Final Data'!M2/12/100)</f>
        <v>4.6083333333333341E-3</v>
      </c>
      <c r="G2" t="s">
        <v>35</v>
      </c>
      <c r="H2" s="16" cm="1">
        <f t="array" ref="H2">PRODUCT(1+C3:C13)-1</f>
        <v>0.21379587877787265</v>
      </c>
      <c r="I2" s="16"/>
    </row>
    <row r="3" spans="1:10" x14ac:dyDescent="0.2">
      <c r="A3" s="2">
        <v>45351</v>
      </c>
      <c r="B3" s="11" cm="1">
        <f t="array" ref="B3:D13">'Final Data'!P3:R13</f>
        <v>2.1767434290829172E-2</v>
      </c>
      <c r="C3" s="11">
        <v>5.1720615397315289E-2</v>
      </c>
      <c r="D3" s="11">
        <v>8.618185339401575E-3</v>
      </c>
      <c r="E3" s="11">
        <f>'Final Data'!M3/100/12</f>
        <v>4.6083333333333332E-3</v>
      </c>
      <c r="F3" s="12"/>
      <c r="G3" s="14" t="s">
        <v>36</v>
      </c>
      <c r="H3" s="16" cm="1">
        <f t="array" ref="H3">PRODUCT(1+D3:D13)-1</f>
        <v>5.0547109518737532E-2</v>
      </c>
      <c r="I3" s="16"/>
    </row>
    <row r="4" spans="1:10" x14ac:dyDescent="0.2">
      <c r="A4" s="2">
        <v>45382</v>
      </c>
      <c r="B4" s="11">
        <v>-5.5349818818937859E-3</v>
      </c>
      <c r="C4" s="11">
        <v>3.1018764704381814E-2</v>
      </c>
      <c r="D4" s="11">
        <v>3.744239631336411E-3</v>
      </c>
      <c r="E4" s="11">
        <f>'Final Data'!M4/100/12</f>
        <v>4.5750000000000001E-3</v>
      </c>
      <c r="F4" s="12"/>
      <c r="G4" s="14" t="s">
        <v>37</v>
      </c>
      <c r="H4" s="16" cm="1">
        <f t="array" ref="H4">PRODUCT(1+E3:E13)-1</f>
        <v>4.8712391502891528E-2</v>
      </c>
      <c r="I4" s="16"/>
    </row>
    <row r="5" spans="1:10" x14ac:dyDescent="0.2">
      <c r="A5" s="2">
        <v>45412</v>
      </c>
      <c r="B5" s="11">
        <v>-3.1432689997597595E-2</v>
      </c>
      <c r="C5" s="11">
        <v>-4.1615042774082567E-2</v>
      </c>
      <c r="D5" s="11">
        <v>1.5973218555714985E-2</v>
      </c>
      <c r="E5" s="11">
        <f>'Final Data'!M5/100/12</f>
        <v>4.5666666666666668E-3</v>
      </c>
      <c r="F5" s="12"/>
      <c r="G5" s="12"/>
      <c r="H5" s="11"/>
    </row>
    <row r="6" spans="1:10" x14ac:dyDescent="0.2">
      <c r="A6" s="2">
        <v>45443</v>
      </c>
      <c r="B6" s="11">
        <v>1.2526354954731495E-2</v>
      </c>
      <c r="C6" s="11">
        <v>4.8021224499522536E-2</v>
      </c>
      <c r="D6" s="11">
        <v>-1.4592355488608521E-2</v>
      </c>
      <c r="E6" s="11">
        <f>'Final Data'!M6/100/12</f>
        <v>4.5666666666666668E-3</v>
      </c>
      <c r="F6" s="12"/>
      <c r="G6" s="15" t="s">
        <v>38</v>
      </c>
      <c r="H6" s="11">
        <f>'3.4 Regression Model'!G17</f>
        <v>1.4027283638260398E-3</v>
      </c>
      <c r="I6" s="11"/>
    </row>
    <row r="7" spans="1:10" x14ac:dyDescent="0.2">
      <c r="A7" s="2">
        <v>45473</v>
      </c>
      <c r="B7" s="11">
        <v>-2.5436877347705333E-2</v>
      </c>
      <c r="C7" s="11">
        <v>3.4669759034089816E-2</v>
      </c>
      <c r="D7" s="11">
        <v>1.1464603038119832E-2</v>
      </c>
      <c r="E7" s="11">
        <f>'Final Data'!M7/100/12</f>
        <v>4.5583333333333335E-3</v>
      </c>
      <c r="F7" s="12"/>
      <c r="G7" s="15" t="s">
        <v>39</v>
      </c>
      <c r="H7" s="11">
        <f>'3.4 Regression Model'!G18</f>
        <v>0.94109412797293535</v>
      </c>
      <c r="I7" s="11"/>
    </row>
    <row r="8" spans="1:10" x14ac:dyDescent="0.2">
      <c r="A8" s="2">
        <v>45504</v>
      </c>
      <c r="B8" s="11">
        <v>0.10025556160710548</v>
      </c>
      <c r="C8" s="11">
        <v>1.1321349038912444E-2</v>
      </c>
      <c r="D8" s="11">
        <v>-1.6718617172003496E-2</v>
      </c>
      <c r="E8" s="11">
        <f>'Final Data'!M8/100/12</f>
        <v>4.5750000000000001E-3</v>
      </c>
      <c r="F8" s="12"/>
      <c r="G8" s="15" t="s">
        <v>40</v>
      </c>
      <c r="H8" s="11">
        <f>'3.4 Regression Model'!G19</f>
        <v>0.42908715754415994</v>
      </c>
      <c r="I8" s="11"/>
    </row>
    <row r="9" spans="1:10" x14ac:dyDescent="0.2">
      <c r="A9" s="2">
        <v>45535</v>
      </c>
      <c r="B9" s="11">
        <v>5.0605437514279261E-2</v>
      </c>
      <c r="C9" s="11">
        <v>2.2834688445031861E-2</v>
      </c>
      <c r="D9" s="11">
        <v>-2.3054755043227584E-2</v>
      </c>
      <c r="E9" s="11">
        <f>'Final Data'!M9/100/12</f>
        <v>4.5083333333333338E-3</v>
      </c>
      <c r="F9" s="12"/>
      <c r="G9" s="12"/>
      <c r="H9" s="11"/>
    </row>
    <row r="10" spans="1:10" x14ac:dyDescent="0.2">
      <c r="A10" s="2">
        <v>45565</v>
      </c>
      <c r="B10" s="11">
        <v>2.9719836178463744E-3</v>
      </c>
      <c r="C10" s="11">
        <v>2.0196869910063014E-2</v>
      </c>
      <c r="D10" s="11">
        <v>-9.0462143559488853E-3</v>
      </c>
      <c r="E10" s="11">
        <f>'Final Data'!M10/100/12</f>
        <v>4.1083333333333328E-3</v>
      </c>
      <c r="F10" s="12"/>
      <c r="G10" s="14" t="s">
        <v>41</v>
      </c>
      <c r="H10" s="16">
        <f>H6+H7*(H2-H4)+H8*H3</f>
        <v>0.178450944409074</v>
      </c>
      <c r="I10" s="16"/>
    </row>
    <row r="11" spans="1:10" x14ac:dyDescent="0.2">
      <c r="A11" s="2">
        <v>45596</v>
      </c>
      <c r="B11" s="11">
        <v>4.5206518989628845E-2</v>
      </c>
      <c r="C11" s="11">
        <v>-9.896780552817494E-3</v>
      </c>
      <c r="D11" s="11">
        <v>3.1752331811867464E-2</v>
      </c>
      <c r="E11" s="11">
        <f>'Final Data'!M11/100/12</f>
        <v>3.9666666666666661E-3</v>
      </c>
      <c r="F11" s="12"/>
      <c r="G11" s="44" t="s">
        <v>42</v>
      </c>
      <c r="H11" s="20">
        <f>H10+H4</f>
        <v>0.22716333591196552</v>
      </c>
      <c r="J11" s="48"/>
    </row>
    <row r="12" spans="1:10" x14ac:dyDescent="0.2">
      <c r="A12" s="2">
        <v>45626</v>
      </c>
      <c r="B12" s="11">
        <v>6.1160282118655776E-2</v>
      </c>
      <c r="C12" s="11">
        <v>5.7301352215863834E-2</v>
      </c>
      <c r="D12" s="11">
        <v>1.6926331986920475E-2</v>
      </c>
      <c r="E12" s="11">
        <f>'Final Data'!M12/100/12</f>
        <v>3.9666666666666661E-3</v>
      </c>
      <c r="F12" s="12"/>
      <c r="G12" s="12"/>
      <c r="H12" s="16"/>
    </row>
    <row r="13" spans="1:10" x14ac:dyDescent="0.2">
      <c r="A13" s="2">
        <v>45657</v>
      </c>
      <c r="B13" s="11">
        <v>-4.6264620597530344E-2</v>
      </c>
      <c r="C13" s="11">
        <v>-2.4990136563014929E-2</v>
      </c>
      <c r="D13" s="11">
        <v>2.6007187440892757E-2</v>
      </c>
      <c r="E13" s="11">
        <f>'Final Data'!M13/100/12</f>
        <v>3.666666666666667E-3</v>
      </c>
      <c r="F13" s="12"/>
      <c r="G13" s="45" t="s">
        <v>43</v>
      </c>
      <c r="H13" s="21" cm="1">
        <f t="array" ref="H13">PRODUCT(1+B3:B13)-1</f>
        <v>0.19102449344942585</v>
      </c>
    </row>
    <row r="14" spans="1:10" x14ac:dyDescent="0.2">
      <c r="B14" s="8"/>
    </row>
    <row r="15" spans="1:10" x14ac:dyDescent="0.2">
      <c r="G15" t="s">
        <v>48</v>
      </c>
      <c r="H15" s="49">
        <f>(H13-H11)*100</f>
        <v>-3.613884246253968</v>
      </c>
    </row>
    <row r="17" spans="7:8" ht="17" thickBot="1" x14ac:dyDescent="0.25">
      <c r="G17" s="18" t="s">
        <v>65</v>
      </c>
      <c r="H17" s="19"/>
    </row>
    <row r="18" spans="7:8" x14ac:dyDescent="0.2">
      <c r="G18" s="15" t="s">
        <v>40</v>
      </c>
      <c r="H18" s="8">
        <f>H8</f>
        <v>0.42908715754415994</v>
      </c>
    </row>
    <row r="19" spans="7:8" x14ac:dyDescent="0.2">
      <c r="G19" t="s">
        <v>62</v>
      </c>
      <c r="H19">
        <v>1000000</v>
      </c>
    </row>
    <row r="21" spans="7:8" x14ac:dyDescent="0.2">
      <c r="G21" t="s">
        <v>63</v>
      </c>
      <c r="H21">
        <v>1000</v>
      </c>
    </row>
    <row r="22" spans="7:8" x14ac:dyDescent="0.2">
      <c r="G22" t="s">
        <v>64</v>
      </c>
      <c r="H22">
        <v>97.18</v>
      </c>
    </row>
    <row r="23" spans="7:8" x14ac:dyDescent="0.2">
      <c r="G23" t="s">
        <v>60</v>
      </c>
      <c r="H23">
        <f>H21*H22</f>
        <v>97180</v>
      </c>
    </row>
    <row r="25" spans="7:8" x14ac:dyDescent="0.2">
      <c r="G25" s="46" t="s">
        <v>61</v>
      </c>
      <c r="H25" s="47">
        <f>H18*H19/H23</f>
        <v>4.415385444990326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9B18-9573-BB44-81B6-D5D5E868B861}">
  <dimension ref="A1:N282"/>
  <sheetViews>
    <sheetView topLeftCell="C1" zoomScale="166" workbookViewId="0">
      <selection activeCell="H31" sqref="H31"/>
    </sheetView>
  </sheetViews>
  <sheetFormatPr baseColWidth="10" defaultRowHeight="16" x14ac:dyDescent="0.2"/>
  <cols>
    <col min="1" max="1" width="21.1640625" style="1" customWidth="1"/>
    <col min="2" max="2" width="19" style="1" bestFit="1" customWidth="1"/>
    <col min="3" max="3" width="19.83203125" style="1" bestFit="1" customWidth="1"/>
    <col min="4" max="4" width="20.1640625" style="1" bestFit="1" customWidth="1"/>
    <col min="5" max="5" width="10.83203125" style="1"/>
    <col min="6" max="6" width="20.1640625" bestFit="1" customWidth="1"/>
    <col min="7" max="7" width="11.5" bestFit="1" customWidth="1"/>
    <col min="8" max="8" width="13.6640625" bestFit="1" customWidth="1"/>
    <col min="9" max="9" width="11.6640625" customWidth="1"/>
    <col min="10" max="10" width="13.6640625" bestFit="1" customWidth="1"/>
    <col min="11" max="11" width="13" bestFit="1" customWidth="1"/>
    <col min="12" max="12" width="13" customWidth="1"/>
    <col min="13" max="13" width="13.83203125" customWidth="1"/>
    <col min="14" max="14" width="13.33203125" customWidth="1"/>
  </cols>
  <sheetData>
    <row r="1" spans="1:14" x14ac:dyDescent="0.2">
      <c r="A1" s="1" t="s">
        <v>0</v>
      </c>
      <c r="B1" s="1" t="s">
        <v>29</v>
      </c>
      <c r="C1" s="3" t="s">
        <v>30</v>
      </c>
      <c r="D1" s="4" t="s">
        <v>31</v>
      </c>
      <c r="E1"/>
      <c r="F1" t="s">
        <v>5</v>
      </c>
    </row>
    <row r="2" spans="1:14" ht="17" thickBot="1" x14ac:dyDescent="0.25">
      <c r="A2" s="2">
        <v>37134</v>
      </c>
      <c r="B2" s="3"/>
      <c r="C2" s="3"/>
      <c r="D2" s="12"/>
      <c r="E2"/>
    </row>
    <row r="3" spans="1:14" x14ac:dyDescent="0.2">
      <c r="A3" s="2">
        <v>37164</v>
      </c>
      <c r="B3" s="11">
        <f>'Final Data'!G3-'Final Data'!D3</f>
        <v>-9.3090108191653767E-2</v>
      </c>
      <c r="C3" s="11">
        <f>'Final Data'!H3-'Final Data'!D3</f>
        <v>-8.3674876499646986E-2</v>
      </c>
      <c r="D3" s="12">
        <f>'Final Data'!I3</f>
        <v>5.2900722976549348E-4</v>
      </c>
      <c r="E3"/>
      <c r="F3" s="7" t="s">
        <v>6</v>
      </c>
      <c r="G3" s="7"/>
    </row>
    <row r="4" spans="1:14" x14ac:dyDescent="0.2">
      <c r="A4" s="2">
        <v>37195</v>
      </c>
      <c r="B4" s="11">
        <f>'Final Data'!G4-'Final Data'!D4</f>
        <v>9.6422619047618993E-2</v>
      </c>
      <c r="C4" s="11">
        <f>'Final Data'!H4-'Final Data'!D4</f>
        <v>1.6365697153104552E-2</v>
      </c>
      <c r="D4" s="12">
        <f>'Final Data'!I4</f>
        <v>1.2160733168840284E-2</v>
      </c>
      <c r="E4"/>
      <c r="F4" t="s">
        <v>7</v>
      </c>
      <c r="G4" s="8">
        <v>0.65420583014855471</v>
      </c>
    </row>
    <row r="5" spans="1:14" x14ac:dyDescent="0.2">
      <c r="A5" s="2">
        <v>37225</v>
      </c>
      <c r="B5" s="11">
        <f>'Final Data'!G5-'Final Data'!D5</f>
        <v>7.1999545102593973E-2</v>
      </c>
      <c r="C5" s="11">
        <f>'Final Data'!H5-'Final Data'!D5</f>
        <v>7.3644535132414979E-2</v>
      </c>
      <c r="D5" s="12">
        <f>'Final Data'!I5</f>
        <v>1.1056938882117326E-2</v>
      </c>
      <c r="E5"/>
      <c r="F5" t="s">
        <v>8</v>
      </c>
      <c r="G5" s="22">
        <v>0.42798526820035959</v>
      </c>
    </row>
    <row r="6" spans="1:14" x14ac:dyDescent="0.2">
      <c r="A6" s="2">
        <v>37256</v>
      </c>
      <c r="B6" s="11">
        <f>'Final Data'!G6-'Final Data'!D6</f>
        <v>6.0626685899747526E-2</v>
      </c>
      <c r="C6" s="11">
        <f>'Final Data'!H6-'Final Data'!D6</f>
        <v>6.1471698113206748E-3</v>
      </c>
      <c r="D6" s="12">
        <f>'Final Data'!I6</f>
        <v>5.3388443985189406E-3</v>
      </c>
      <c r="E6"/>
      <c r="F6" t="s">
        <v>9</v>
      </c>
      <c r="G6" s="22">
        <v>0.42366817588489059</v>
      </c>
    </row>
    <row r="7" spans="1:14" x14ac:dyDescent="0.2">
      <c r="A7" s="2">
        <v>37287</v>
      </c>
      <c r="B7" s="11">
        <f>'Final Data'!G7-'Final Data'!D7</f>
        <v>-8.4600183927560815E-2</v>
      </c>
      <c r="C7" s="11">
        <f>'Final Data'!H7-'Final Data'!D7</f>
        <v>-1.6999309729117555E-2</v>
      </c>
      <c r="D7" s="12">
        <f>'Final Data'!I7</f>
        <v>2.989293361884364E-2</v>
      </c>
      <c r="E7"/>
      <c r="F7" t="s">
        <v>10</v>
      </c>
      <c r="G7" s="8">
        <v>4.4975634285447173E-2</v>
      </c>
    </row>
    <row r="8" spans="1:14" ht="17" thickBot="1" x14ac:dyDescent="0.25">
      <c r="A8" s="2">
        <v>37315</v>
      </c>
      <c r="B8" s="11">
        <f>'Final Data'!G8-'Final Data'!D8</f>
        <v>-2.5355555555555541E-2</v>
      </c>
      <c r="C8" s="11">
        <f>'Final Data'!H8-'Final Data'!D8</f>
        <v>-2.2259446705597829E-2</v>
      </c>
      <c r="D8" s="12">
        <f>'Final Data'!I8</f>
        <v>-8.9820359281436984E-3</v>
      </c>
      <c r="E8"/>
      <c r="F8" s="5" t="s">
        <v>11</v>
      </c>
      <c r="G8" s="5">
        <v>268</v>
      </c>
    </row>
    <row r="9" spans="1:14" x14ac:dyDescent="0.2">
      <c r="A9" s="2">
        <v>37346</v>
      </c>
      <c r="B9" s="11">
        <f>'Final Data'!G9-'Final Data'!D9</f>
        <v>0.10401616391576554</v>
      </c>
      <c r="C9" s="11">
        <f>'Final Data'!H9-'Final Data'!D9</f>
        <v>3.5309334056203165E-2</v>
      </c>
      <c r="D9" s="12">
        <f>'Final Data'!I9</f>
        <v>-4.5317220543805983E-3</v>
      </c>
      <c r="E9"/>
    </row>
    <row r="10" spans="1:14" ht="17" thickBot="1" x14ac:dyDescent="0.25">
      <c r="A10" s="2">
        <v>37376</v>
      </c>
      <c r="B10" s="11">
        <f>'Final Data'!G10-'Final Data'!D10</f>
        <v>-0.12898486785652993</v>
      </c>
      <c r="C10" s="11">
        <f>'Final Data'!H10-'Final Data'!D10</f>
        <v>-6.2918263029457897E-2</v>
      </c>
      <c r="D10" s="12">
        <f>'Final Data'!I10</f>
        <v>-2.8915865789917439E-2</v>
      </c>
      <c r="E10"/>
      <c r="F10" t="s">
        <v>12</v>
      </c>
    </row>
    <row r="11" spans="1:14" x14ac:dyDescent="0.2">
      <c r="A11" s="2">
        <v>37407</v>
      </c>
      <c r="B11" s="11">
        <f>'Final Data'!G11-'Final Data'!D11</f>
        <v>1.9809782323629656E-2</v>
      </c>
      <c r="C11" s="11">
        <f>'Final Data'!H11-'Final Data'!D11</f>
        <v>-1.0533528337512163E-2</v>
      </c>
      <c r="D11" s="12">
        <f>'Final Data'!I11</f>
        <v>-2.9342824897994578E-2</v>
      </c>
      <c r="E11"/>
      <c r="F11" s="6"/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</row>
    <row r="12" spans="1:14" x14ac:dyDescent="0.2">
      <c r="A12" s="2">
        <v>37437</v>
      </c>
      <c r="B12" s="11">
        <f>'Final Data'!G12-'Final Data'!D12</f>
        <v>-0.16261788649203912</v>
      </c>
      <c r="C12" s="11">
        <f>'Final Data'!H12-'Final Data'!D12</f>
        <v>-7.384765485896351E-2</v>
      </c>
      <c r="D12" s="12">
        <f>'Final Data'!I12</f>
        <v>-5.0979339951703805E-2</v>
      </c>
      <c r="E12"/>
      <c r="F12" t="s">
        <v>13</v>
      </c>
      <c r="G12">
        <v>2</v>
      </c>
      <c r="H12" s="8">
        <v>0.40107175103686277</v>
      </c>
      <c r="I12" s="8">
        <v>0.20053587551843138</v>
      </c>
      <c r="J12" s="8">
        <v>99.137390846798624</v>
      </c>
      <c r="K12">
        <v>7.1854808473315979E-33</v>
      </c>
    </row>
    <row r="13" spans="1:14" x14ac:dyDescent="0.2">
      <c r="A13" s="2">
        <v>37468</v>
      </c>
      <c r="B13" s="11">
        <f>'Final Data'!G13-'Final Data'!D13</f>
        <v>-0.14518449100650591</v>
      </c>
      <c r="C13" s="11">
        <f>'Final Data'!H13-'Final Data'!D13</f>
        <v>-8.0447526436317029E-2</v>
      </c>
      <c r="D13" s="12">
        <f>'Final Data'!I13</f>
        <v>1.2251437187823929E-2</v>
      </c>
      <c r="E13"/>
      <c r="F13" t="s">
        <v>14</v>
      </c>
      <c r="G13">
        <v>265</v>
      </c>
      <c r="H13" s="8">
        <v>0.53604403503524711</v>
      </c>
      <c r="I13" s="8">
        <v>2.0228076793782912E-3</v>
      </c>
      <c r="J13" s="8"/>
    </row>
    <row r="14" spans="1:14" ht="17" thickBot="1" x14ac:dyDescent="0.25">
      <c r="A14" s="2">
        <v>37499</v>
      </c>
      <c r="B14" s="11">
        <f>'Final Data'!G14-'Final Data'!D14</f>
        <v>1.1455417001877286E-2</v>
      </c>
      <c r="C14" s="11">
        <f>'Final Data'!H14-'Final Data'!D14</f>
        <v>3.5197089366681292E-3</v>
      </c>
      <c r="D14" s="12">
        <f>'Final Data'!I14</f>
        <v>-4.0033516432361289E-3</v>
      </c>
      <c r="E14"/>
      <c r="F14" s="5" t="s">
        <v>15</v>
      </c>
      <c r="G14" s="5">
        <v>267</v>
      </c>
      <c r="H14" s="10">
        <v>0.93711578607210988</v>
      </c>
      <c r="I14" s="10"/>
      <c r="J14" s="10"/>
      <c r="K14" s="5"/>
    </row>
    <row r="15" spans="1:14" ht="17" thickBot="1" x14ac:dyDescent="0.25">
      <c r="A15" s="2">
        <v>37529</v>
      </c>
      <c r="B15" s="11">
        <f>'Final Data'!G15-'Final Data'!D15</f>
        <v>-8.0761450886947306E-2</v>
      </c>
      <c r="C15" s="11">
        <f>'Final Data'!H15-'Final Data'!D15</f>
        <v>-0.11136498926609184</v>
      </c>
      <c r="D15" s="12">
        <f>'Final Data'!I15</f>
        <v>-1.0282295756216062E-3</v>
      </c>
      <c r="E15"/>
    </row>
    <row r="16" spans="1:14" x14ac:dyDescent="0.2">
      <c r="A16" s="2">
        <v>37560</v>
      </c>
      <c r="B16" s="11">
        <f>'Final Data'!G16-'Final Data'!D16</f>
        <v>0.22194756974403212</v>
      </c>
      <c r="C16" s="11">
        <f>'Final Data'!H16-'Final Data'!D16</f>
        <v>8.52379042479251E-2</v>
      </c>
      <c r="D16" s="12">
        <f>'Final Data'!I16</f>
        <v>-2.1521474688874706E-3</v>
      </c>
      <c r="E16"/>
      <c r="F16" s="6"/>
      <c r="G16" s="6" t="s">
        <v>22</v>
      </c>
      <c r="H16" s="6" t="s">
        <v>10</v>
      </c>
      <c r="I16" s="6" t="s">
        <v>23</v>
      </c>
      <c r="J16" s="6" t="s">
        <v>24</v>
      </c>
      <c r="K16" s="6" t="s">
        <v>25</v>
      </c>
      <c r="L16" s="6" t="s">
        <v>26</v>
      </c>
      <c r="M16" s="6" t="s">
        <v>27</v>
      </c>
      <c r="N16" s="6" t="s">
        <v>28</v>
      </c>
    </row>
    <row r="17" spans="1:14" x14ac:dyDescent="0.2">
      <c r="A17" s="2">
        <v>37590</v>
      </c>
      <c r="B17" s="11">
        <f>'Final Data'!G17-'Final Data'!D17</f>
        <v>2.1060378948193379E-2</v>
      </c>
      <c r="C17" s="11">
        <f>'Final Data'!H17-'Final Data'!D17</f>
        <v>5.5968945209603368E-2</v>
      </c>
      <c r="D17" s="12">
        <f>'Final Data'!I17</f>
        <v>-2.1567891972993623E-3</v>
      </c>
      <c r="E17"/>
      <c r="F17" t="s">
        <v>16</v>
      </c>
      <c r="G17" s="22">
        <v>1.4027283638260398E-3</v>
      </c>
      <c r="H17" s="8">
        <v>2.7687600141066875E-3</v>
      </c>
      <c r="I17" s="8">
        <v>0.50662692204424076</v>
      </c>
      <c r="J17" s="8">
        <v>0.61283787713658677</v>
      </c>
      <c r="K17" s="8">
        <v>-4.0488390574431052E-3</v>
      </c>
      <c r="L17" s="8">
        <v>6.8542957850951849E-3</v>
      </c>
      <c r="M17" s="8">
        <v>-4.0488390574431052E-3</v>
      </c>
      <c r="N17" s="8">
        <v>6.8542957850951849E-3</v>
      </c>
    </row>
    <row r="18" spans="1:14" x14ac:dyDescent="0.2">
      <c r="A18" s="2">
        <v>37621</v>
      </c>
      <c r="B18" s="11">
        <f>'Final Data'!G18-'Final Data'!D18</f>
        <v>-9.8078444904531839E-2</v>
      </c>
      <c r="C18" s="11">
        <f>'Final Data'!H18-'Final Data'!D18</f>
        <v>-6.1343906867457013E-2</v>
      </c>
      <c r="D18" s="12">
        <f>'Final Data'!I18</f>
        <v>-4.2853115308711609E-2</v>
      </c>
      <c r="E18"/>
      <c r="F18" s="9" t="str">
        <f>C1</f>
        <v>Market Excess Returns</v>
      </c>
      <c r="G18" s="22">
        <v>0.94109412797293535</v>
      </c>
      <c r="H18" s="8">
        <v>6.769815608774557E-2</v>
      </c>
      <c r="I18" s="8">
        <v>13.901325861123242</v>
      </c>
      <c r="J18" s="22">
        <v>2.2887210964934007E-33</v>
      </c>
      <c r="K18" s="8">
        <v>0.80779941830954805</v>
      </c>
      <c r="L18" s="8">
        <v>1.0743888376363226</v>
      </c>
      <c r="M18" s="8">
        <v>0.80779941830954805</v>
      </c>
      <c r="N18" s="8">
        <v>1.0743888376363226</v>
      </c>
    </row>
    <row r="19" spans="1:14" ht="17" thickBot="1" x14ac:dyDescent="0.25">
      <c r="A19" s="2">
        <v>37652</v>
      </c>
      <c r="B19" s="11">
        <f>'Final Data'!G19-'Final Data'!D19</f>
        <v>-0.11766289808917194</v>
      </c>
      <c r="C19" s="11">
        <f>'Final Data'!H19-'Final Data'!D19</f>
        <v>-2.8367589224823721E-2</v>
      </c>
      <c r="D19" s="12">
        <f>'Final Data'!I19</f>
        <v>-1.9047619047619025E-2</v>
      </c>
      <c r="E19"/>
      <c r="F19" s="13" t="str">
        <f>D1</f>
        <v>Exchange Rate Returns</v>
      </c>
      <c r="G19" s="23">
        <v>0.42908715754415994</v>
      </c>
      <c r="H19" s="10">
        <v>0.13300075124219055</v>
      </c>
      <c r="I19" s="10">
        <v>3.2262010066605153</v>
      </c>
      <c r="J19" s="23">
        <v>1.4120542023030095E-3</v>
      </c>
      <c r="K19" s="10">
        <v>0.16721449296431484</v>
      </c>
      <c r="L19" s="10">
        <v>0.69095982212400497</v>
      </c>
      <c r="M19" s="10">
        <v>0.16721449296431484</v>
      </c>
      <c r="N19" s="10">
        <v>0.69095982212400497</v>
      </c>
    </row>
    <row r="20" spans="1:14" x14ac:dyDescent="0.2">
      <c r="A20" s="2">
        <v>37680</v>
      </c>
      <c r="B20" s="11">
        <f>'Final Data'!G20-'Final Data'!D20</f>
        <v>-6.3598468897221469E-2</v>
      </c>
      <c r="C20" s="11">
        <f>'Final Data'!H20-'Final Data'!D20</f>
        <v>-1.8070387791671562E-2</v>
      </c>
      <c r="D20" s="12">
        <f>'Final Data'!I20</f>
        <v>-2.001801621459342E-3</v>
      </c>
      <c r="E20"/>
    </row>
    <row r="21" spans="1:14" x14ac:dyDescent="0.2">
      <c r="A21" s="2">
        <v>37711</v>
      </c>
      <c r="B21" s="11">
        <f>'Final Data'!G21-'Final Data'!D21</f>
        <v>-5.3582051282051305E-2</v>
      </c>
      <c r="C21" s="11">
        <f>'Final Data'!H21-'Final Data'!D21</f>
        <v>7.4746601672413373E-3</v>
      </c>
      <c r="D21" s="12">
        <f>'Final Data'!I21</f>
        <v>-6.518904823989485E-3</v>
      </c>
      <c r="E21"/>
    </row>
    <row r="22" spans="1:14" x14ac:dyDescent="0.2">
      <c r="A22" s="2">
        <v>37741</v>
      </c>
      <c r="B22" s="11">
        <f>'Final Data'!G22-'Final Data'!D22</f>
        <v>9.1296072859153518E-2</v>
      </c>
      <c r="C22" s="11">
        <f>'Final Data'!H22-'Final Data'!D22</f>
        <v>8.0053381670989465E-2</v>
      </c>
      <c r="D22" s="12">
        <f>'Final Data'!I22</f>
        <v>-1.8877448011306325E-2</v>
      </c>
      <c r="E22"/>
    </row>
    <row r="23" spans="1:14" x14ac:dyDescent="0.2">
      <c r="A23" s="2">
        <v>37772</v>
      </c>
      <c r="B23" s="11">
        <f>'Final Data'!G23-'Final Data'!D23</f>
        <v>3.6797234611953493E-2</v>
      </c>
      <c r="C23" s="11">
        <f>'Final Data'!H23-'Final Data'!D23</f>
        <v>4.9965823244992234E-2</v>
      </c>
      <c r="D23" s="12">
        <f>'Final Data'!I23</f>
        <v>-4.0333367630414667E-2</v>
      </c>
      <c r="E23"/>
    </row>
    <row r="24" spans="1:14" x14ac:dyDescent="0.2">
      <c r="A24" s="2">
        <v>37802</v>
      </c>
      <c r="B24" s="11">
        <f>'Final Data'!G24-'Final Data'!D24</f>
        <v>-3.0474426934097396E-2</v>
      </c>
      <c r="C24" s="11">
        <f>'Final Data'!H24-'Final Data'!D24</f>
        <v>1.0636747613117453E-2</v>
      </c>
      <c r="D24" s="12">
        <f>'Final Data'!I24</f>
        <v>1.5653479146563825E-2</v>
      </c>
      <c r="E24"/>
    </row>
    <row r="25" spans="1:14" x14ac:dyDescent="0.2">
      <c r="A25" s="2">
        <v>37833</v>
      </c>
      <c r="B25" s="11">
        <f>'Final Data'!G25-'Final Data'!D25</f>
        <v>9.4339126796613479E-2</v>
      </c>
      <c r="C25" s="11">
        <f>'Final Data'!H25-'Final Data'!D25</f>
        <v>1.5455109457841582E-2</v>
      </c>
      <c r="D25" s="12">
        <f>'Final Data'!I25</f>
        <v>2.2801646785601145E-2</v>
      </c>
      <c r="E25"/>
    </row>
    <row r="26" spans="1:14" x14ac:dyDescent="0.2">
      <c r="A26" s="2">
        <v>37864</v>
      </c>
      <c r="B26" s="11">
        <f>'Final Data'!G26-'Final Data'!D26</f>
        <v>7.550480043149943E-2</v>
      </c>
      <c r="C26" s="11">
        <f>'Final Data'!H26-'Final Data'!D26</f>
        <v>1.7056705038877153E-2</v>
      </c>
      <c r="D26" s="12">
        <f>'Final Data'!I26</f>
        <v>1.2488388894622704E-2</v>
      </c>
      <c r="E26"/>
    </row>
    <row r="27" spans="1:14" x14ac:dyDescent="0.2">
      <c r="A27" s="2">
        <v>37894</v>
      </c>
      <c r="B27" s="11">
        <f>'Final Data'!G27-'Final Data'!D27</f>
        <v>-0.10245389000250553</v>
      </c>
      <c r="C27" s="11">
        <f>'Final Data'!H27-'Final Data'!D27</f>
        <v>-1.2629761904761904E-2</v>
      </c>
      <c r="D27" s="12">
        <f>'Final Data'!I27</f>
        <v>-5.3516819571865444E-2</v>
      </c>
      <c r="E27"/>
    </row>
    <row r="28" spans="1:14" x14ac:dyDescent="0.2">
      <c r="A28" s="2">
        <v>37925</v>
      </c>
      <c r="B28" s="11">
        <f>'Final Data'!G28-'Final Data'!D28</f>
        <v>5.1919665271966536E-2</v>
      </c>
      <c r="C28" s="11">
        <f>'Final Data'!H28-'Final Data'!D28</f>
        <v>5.4119678714859482E-2</v>
      </c>
      <c r="D28" s="12">
        <f>'Final Data'!I28</f>
        <v>-1.2924071082389913E-3</v>
      </c>
      <c r="E28"/>
    </row>
    <row r="29" spans="1:14" x14ac:dyDescent="0.2">
      <c r="A29" s="2">
        <v>37955</v>
      </c>
      <c r="B29" s="11">
        <f>'Final Data'!G29-'Final Data'!D29</f>
        <v>1.2183571807101083E-2</v>
      </c>
      <c r="C29" s="11">
        <f>'Final Data'!H29-'Final Data'!D29</f>
        <v>6.33809841058342E-3</v>
      </c>
      <c r="D29" s="12">
        <f>'Final Data'!I29</f>
        <v>-2.7175671303785291E-2</v>
      </c>
      <c r="E29"/>
    </row>
    <row r="30" spans="1:14" x14ac:dyDescent="0.2">
      <c r="A30" s="2">
        <v>37986</v>
      </c>
      <c r="B30" s="11">
        <f>'Final Data'!G30-'Final Data'!D30</f>
        <v>3.5347305780800489E-2</v>
      </c>
      <c r="C30" s="11">
        <f>'Final Data'!H30-'Final Data'!D30</f>
        <v>4.9996550746550787E-2</v>
      </c>
      <c r="D30" s="12">
        <f>'Final Data'!I30</f>
        <v>-3.6470457820640644E-2</v>
      </c>
      <c r="E30"/>
    </row>
    <row r="31" spans="1:14" x14ac:dyDescent="0.2">
      <c r="A31" s="2">
        <v>38017</v>
      </c>
      <c r="B31" s="11">
        <f>'Final Data'!G31-'Final Data'!D31</f>
        <v>7.8564577547757308E-2</v>
      </c>
      <c r="C31" s="11">
        <f>'Final Data'!H31-'Final Data'!D31</f>
        <v>1.655940657133419E-2</v>
      </c>
      <c r="D31" s="12">
        <f>'Final Data'!I31</f>
        <v>3.2213529682466767E-3</v>
      </c>
      <c r="E31"/>
    </row>
    <row r="32" spans="1:14" x14ac:dyDescent="0.2">
      <c r="A32" s="2">
        <v>38046</v>
      </c>
      <c r="B32" s="11">
        <f>'Final Data'!G32-'Final Data'!D32</f>
        <v>-7.8092105263157224E-3</v>
      </c>
      <c r="C32" s="11">
        <f>'Final Data'!H32-'Final Data'!D32</f>
        <v>1.1408846108508104E-2</v>
      </c>
      <c r="D32" s="12">
        <f>'Final Data'!I32</f>
        <v>1.2614678899082502E-3</v>
      </c>
      <c r="E32"/>
    </row>
    <row r="33" spans="1:5" x14ac:dyDescent="0.2">
      <c r="A33" s="2">
        <v>38077</v>
      </c>
      <c r="B33" s="11">
        <f>'Final Data'!G33-'Final Data'!D33</f>
        <v>-1.1400706713780986E-2</v>
      </c>
      <c r="C33" s="11">
        <f>'Final Data'!H33-'Final Data'!D33</f>
        <v>-1.7133304218709094E-2</v>
      </c>
      <c r="D33" s="12">
        <f>'Final Data'!I33</f>
        <v>3.4360325277745635E-3</v>
      </c>
      <c r="E33"/>
    </row>
    <row r="34" spans="1:5" x14ac:dyDescent="0.2">
      <c r="A34" s="2">
        <v>38107</v>
      </c>
      <c r="B34" s="11">
        <f>'Final Data'!G34-'Final Data'!D34</f>
        <v>4.2403571428571485E-2</v>
      </c>
      <c r="C34" s="11">
        <f>'Final Data'!H34-'Final Data'!D34</f>
        <v>-1.747376576096616E-2</v>
      </c>
      <c r="D34" s="12">
        <f>'Final Data'!I34</f>
        <v>3.2758817486588342E-2</v>
      </c>
      <c r="E34"/>
    </row>
    <row r="35" spans="1:5" x14ac:dyDescent="0.2">
      <c r="A35" s="2">
        <v>38138</v>
      </c>
      <c r="B35" s="11">
        <f>'Final Data'!G35-'Final Data'!D35</f>
        <v>1.3368686753404795E-2</v>
      </c>
      <c r="C35" s="11">
        <f>'Final Data'!H35-'Final Data'!D35</f>
        <v>1.1318174839700254E-2</v>
      </c>
      <c r="D35" s="12">
        <f>'Final Data'!I35</f>
        <v>-1.6909814323607438E-2</v>
      </c>
      <c r="E35"/>
    </row>
    <row r="36" spans="1:5" x14ac:dyDescent="0.2">
      <c r="A36" s="2">
        <v>38168</v>
      </c>
      <c r="B36" s="11">
        <f>'Final Data'!G36-'Final Data'!D36</f>
        <v>-5.8368652937204522E-2</v>
      </c>
      <c r="C36" s="11">
        <f>'Final Data'!H36-'Final Data'!D36</f>
        <v>1.6960219059516293E-2</v>
      </c>
      <c r="D36" s="12">
        <f>'Final Data'!I36</f>
        <v>-1.6863406408095074E-3</v>
      </c>
      <c r="E36"/>
    </row>
    <row r="37" spans="1:5" x14ac:dyDescent="0.2">
      <c r="A37" s="2">
        <v>38199</v>
      </c>
      <c r="B37" s="11">
        <f>'Final Data'!G37-'Final Data'!D37</f>
        <v>1.3294412607448495E-3</v>
      </c>
      <c r="C37" s="11">
        <f>'Final Data'!H37-'Final Data'!D37</f>
        <v>-3.5332526881720352E-2</v>
      </c>
      <c r="D37" s="12">
        <f>'Final Data'!I37</f>
        <v>1.3063063063063025E-2</v>
      </c>
      <c r="E37"/>
    </row>
    <row r="38" spans="1:5" x14ac:dyDescent="0.2">
      <c r="A38" s="2">
        <v>38230</v>
      </c>
      <c r="B38" s="11">
        <f>'Final Data'!G38-'Final Data'!D38</f>
        <v>-5.3852449579164532E-2</v>
      </c>
      <c r="C38" s="11">
        <f>'Final Data'!H38-'Final Data'!D38</f>
        <v>1.0608869625729931E-3</v>
      </c>
      <c r="D38" s="12">
        <f>'Final Data'!I38</f>
        <v>-1.1338372610048867E-2</v>
      </c>
      <c r="E38"/>
    </row>
    <row r="39" spans="1:5" x14ac:dyDescent="0.2">
      <c r="A39" s="2">
        <v>38260</v>
      </c>
      <c r="B39" s="11">
        <f>'Final Data'!G39-'Final Data'!D39</f>
        <v>3.7749101081216929E-2</v>
      </c>
      <c r="C39" s="11">
        <f>'Final Data'!H39-'Final Data'!D39</f>
        <v>8.1935835899292365E-3</v>
      </c>
      <c r="D39" s="12">
        <f>'Final Data'!I39</f>
        <v>-1.7764785248482105E-2</v>
      </c>
      <c r="E39"/>
    </row>
    <row r="40" spans="1:5" x14ac:dyDescent="0.2">
      <c r="A40" s="2">
        <v>38291</v>
      </c>
      <c r="B40" s="11">
        <f>'Final Data'!G40-'Final Data'!D40</f>
        <v>4.8655138754436923E-2</v>
      </c>
      <c r="C40" s="11">
        <f>'Final Data'!H40-'Final Data'!D40</f>
        <v>1.2554385728811655E-2</v>
      </c>
      <c r="D40" s="12">
        <f>'Final Data'!I40</f>
        <v>-2.8044871794871827E-2</v>
      </c>
      <c r="E40"/>
    </row>
    <row r="41" spans="1:5" x14ac:dyDescent="0.2">
      <c r="A41" s="2">
        <v>38321</v>
      </c>
      <c r="B41" s="11">
        <f>'Final Data'!G41-'Final Data'!D41</f>
        <v>4.759511984328188E-2</v>
      </c>
      <c r="C41" s="11">
        <f>'Final Data'!H41-'Final Data'!D41</f>
        <v>3.6852242965846674E-2</v>
      </c>
      <c r="D41" s="12">
        <f>'Final Data'!I41</f>
        <v>-3.6391473324696777E-2</v>
      </c>
      <c r="E41"/>
    </row>
    <row r="42" spans="1:5" x14ac:dyDescent="0.2">
      <c r="A42" s="2">
        <v>38352</v>
      </c>
      <c r="B42" s="11">
        <f>'Final Data'!G42-'Final Data'!D42</f>
        <v>-2.7491977816824064E-2</v>
      </c>
      <c r="C42" s="11">
        <f>'Final Data'!H42-'Final Data'!D42</f>
        <v>3.0883681206338505E-2</v>
      </c>
      <c r="D42" s="12">
        <f>'Final Data'!I42</f>
        <v>-1.1855292104619884E-2</v>
      </c>
      <c r="E42"/>
    </row>
    <row r="43" spans="1:5" x14ac:dyDescent="0.2">
      <c r="A43" s="2">
        <v>38383</v>
      </c>
      <c r="B43" s="11">
        <f>'Final Data'!G43-'Final Data'!D43</f>
        <v>-2.1333352123262032E-2</v>
      </c>
      <c r="C43" s="11">
        <f>'Final Data'!H43-'Final Data'!D43</f>
        <v>-2.6966274720136532E-2</v>
      </c>
      <c r="D43" s="12">
        <f>'Final Data'!I43</f>
        <v>3.4013605442176874E-2</v>
      </c>
      <c r="E43"/>
    </row>
    <row r="44" spans="1:5" x14ac:dyDescent="0.2">
      <c r="A44" s="2">
        <v>38411</v>
      </c>
      <c r="B44" s="11">
        <f>'Final Data'!G44-'Final Data'!D44</f>
        <v>-1.405118828580181E-2</v>
      </c>
      <c r="C44" s="11">
        <f>'Final Data'!H44-'Final Data'!D44</f>
        <v>1.6785841163689683E-2</v>
      </c>
      <c r="D44" s="12">
        <f>'Final Data'!I44</f>
        <v>-1.3038277511961594E-2</v>
      </c>
      <c r="E44"/>
    </row>
    <row r="45" spans="1:5" x14ac:dyDescent="0.2">
      <c r="A45" s="2">
        <v>38442</v>
      </c>
      <c r="B45" s="11">
        <f>'Final Data'!G45-'Final Data'!D45</f>
        <v>4.4130493482309172E-2</v>
      </c>
      <c r="C45" s="11">
        <f>'Final Data'!H45-'Final Data'!D45</f>
        <v>-2.1301005317381189E-2</v>
      </c>
      <c r="D45" s="12">
        <f>'Final Data'!I45</f>
        <v>1.8785601745242964E-2</v>
      </c>
      <c r="E45"/>
    </row>
    <row r="46" spans="1:5" x14ac:dyDescent="0.2">
      <c r="A46" s="2">
        <v>38472</v>
      </c>
      <c r="B46" s="11">
        <f>'Final Data'!G46-'Final Data'!D46</f>
        <v>-3.5842880978865517E-2</v>
      </c>
      <c r="C46" s="11">
        <f>'Final Data'!H46-'Final Data'!D46</f>
        <v>-2.2409241063865791E-2</v>
      </c>
      <c r="D46" s="12">
        <f>'Final Data'!I46</f>
        <v>4.4016178919819718E-3</v>
      </c>
      <c r="E46"/>
    </row>
    <row r="47" spans="1:5" x14ac:dyDescent="0.2">
      <c r="A47" s="2">
        <v>38503</v>
      </c>
      <c r="B47" s="11">
        <f>'Final Data'!G47-'Final Data'!D47</f>
        <v>5.9539594843462124E-3</v>
      </c>
      <c r="C47" s="11">
        <f>'Final Data'!H47-'Final Data'!D47</f>
        <v>2.7663208852005572E-2</v>
      </c>
      <c r="D47" s="12">
        <f>'Final Data'!I47</f>
        <v>3.9440957005803599E-2</v>
      </c>
      <c r="E47"/>
    </row>
    <row r="48" spans="1:5" x14ac:dyDescent="0.2">
      <c r="A48" s="2">
        <v>38533</v>
      </c>
      <c r="B48" s="11">
        <f>'Final Data'!G48-'Final Data'!D48</f>
        <v>-4.4272488584474856E-2</v>
      </c>
      <c r="C48" s="11">
        <f>'Final Data'!H48-'Final Data'!D48</f>
        <v>-2.6595223108127394E-3</v>
      </c>
      <c r="D48" s="12">
        <f>'Final Data'!I48</f>
        <v>1.5382862351868667E-2</v>
      </c>
      <c r="E48"/>
    </row>
    <row r="49" spans="1:5" x14ac:dyDescent="0.2">
      <c r="A49" s="2">
        <v>38564</v>
      </c>
      <c r="B49" s="11">
        <f>'Final Data'!G49-'Final Data'!D49</f>
        <v>5.5428431022158629E-2</v>
      </c>
      <c r="C49" s="11">
        <f>'Final Data'!H49-'Final Data'!D49</f>
        <v>3.3302746999076718E-2</v>
      </c>
      <c r="D49" s="12">
        <f>'Final Data'!I49</f>
        <v>2.6933004152170899E-3</v>
      </c>
      <c r="E49"/>
    </row>
    <row r="50" spans="1:5" x14ac:dyDescent="0.2">
      <c r="A50" s="2">
        <v>38595</v>
      </c>
      <c r="B50" s="11">
        <f>'Final Data'!G50-'Final Data'!D50</f>
        <v>-4.022063536740967E-2</v>
      </c>
      <c r="C50" s="11">
        <f>'Final Data'!H50-'Final Data'!D50</f>
        <v>-1.4104022848809017E-2</v>
      </c>
      <c r="D50" s="12">
        <f>'Final Data'!I50</f>
        <v>-1.9809736989367614E-2</v>
      </c>
      <c r="E50"/>
    </row>
    <row r="51" spans="1:5" x14ac:dyDescent="0.2">
      <c r="A51" s="2">
        <v>38625</v>
      </c>
      <c r="B51" s="11">
        <f>'Final Data'!G51-'Final Data'!D51</f>
        <v>4.1586257309941324E-3</v>
      </c>
      <c r="C51" s="11">
        <f>'Final Data'!H51-'Final Data'!D51</f>
        <v>4.3405002868147184E-3</v>
      </c>
      <c r="D51" s="12">
        <f>'Final Data'!I51</f>
        <v>2.2151176067595316E-2</v>
      </c>
      <c r="E51"/>
    </row>
    <row r="52" spans="1:5" x14ac:dyDescent="0.2">
      <c r="A52" s="2">
        <v>38656</v>
      </c>
      <c r="B52" s="11">
        <f>'Final Data'!G52-'Final Data'!D52</f>
        <v>8.0966140024783084E-2</v>
      </c>
      <c r="C52" s="11">
        <f>'Final Data'!H52-'Final Data'!D52</f>
        <v>-2.0882552083333297E-2</v>
      </c>
      <c r="D52" s="12">
        <f>'Final Data'!I52</f>
        <v>6.1438784629132843E-3</v>
      </c>
      <c r="E52"/>
    </row>
    <row r="53" spans="1:5" x14ac:dyDescent="0.2">
      <c r="A53" s="2">
        <v>38686</v>
      </c>
      <c r="B53" s="11">
        <f>'Final Data'!G53-'Final Data'!D53</f>
        <v>3.9534219174168477E-3</v>
      </c>
      <c r="C53" s="11">
        <f>'Final Data'!H53-'Final Data'!D53</f>
        <v>3.187793427230047E-2</v>
      </c>
      <c r="D53" s="12">
        <f>'Final Data'!I53</f>
        <v>1.6653713778172534E-2</v>
      </c>
      <c r="E53"/>
    </row>
    <row r="54" spans="1:5" x14ac:dyDescent="0.2">
      <c r="A54" s="2">
        <v>38717</v>
      </c>
      <c r="B54" s="11">
        <f>'Final Data'!G54-'Final Data'!D54</f>
        <v>-2.6745921985815633E-2</v>
      </c>
      <c r="C54" s="11">
        <f>'Final Data'!H54-'Final Data'!D54</f>
        <v>-4.3020508203281682E-3</v>
      </c>
      <c r="D54" s="12">
        <f>'Final Data'!I54</f>
        <v>-4.3682428743037184E-3</v>
      </c>
      <c r="E54"/>
    </row>
    <row r="55" spans="1:5" x14ac:dyDescent="0.2">
      <c r="A55" s="2">
        <v>38748</v>
      </c>
      <c r="B55" s="11">
        <f>'Final Data'!G55-'Final Data'!D55</f>
        <v>-4.6343191721132916E-2</v>
      </c>
      <c r="C55" s="11">
        <f>'Final Data'!H55-'Final Data'!D55</f>
        <v>2.1832978851237646E-2</v>
      </c>
      <c r="D55" s="12">
        <f>'Final Data'!I55</f>
        <v>-2.4240429965997675E-2</v>
      </c>
      <c r="E55"/>
    </row>
    <row r="56" spans="1:5" x14ac:dyDescent="0.2">
      <c r="A56" s="2">
        <v>38776</v>
      </c>
      <c r="B56" s="11">
        <f>'Final Data'!G56-'Final Data'!D56</f>
        <v>4.7481190259444701E-2</v>
      </c>
      <c r="C56" s="11">
        <f>'Final Data'!H56-'Final Data'!D56</f>
        <v>-3.256286618232844E-3</v>
      </c>
      <c r="D56" s="12">
        <f>'Final Data'!I56</f>
        <v>1.292715827338136E-2</v>
      </c>
      <c r="E56"/>
    </row>
    <row r="57" spans="1:5" x14ac:dyDescent="0.2">
      <c r="A57" s="2">
        <v>38807</v>
      </c>
      <c r="B57" s="11">
        <f>'Final Data'!G57-'Final Data'!D57</f>
        <v>-1.4916350941762243E-2</v>
      </c>
      <c r="C57" s="11">
        <f>'Final Data'!H57-'Final Data'!D57</f>
        <v>7.1346041227453028E-3</v>
      </c>
      <c r="D57" s="12">
        <f>'Final Data'!I57</f>
        <v>-4.2170680279657695E-3</v>
      </c>
      <c r="E57"/>
    </row>
    <row r="58" spans="1:5" x14ac:dyDescent="0.2">
      <c r="A58" s="2">
        <v>38837</v>
      </c>
      <c r="B58" s="11">
        <f>'Final Data'!G58-'Final Data'!D58</f>
        <v>-3.885960303561007E-2</v>
      </c>
      <c r="C58" s="11">
        <f>'Final Data'!H58-'Final Data'!D58</f>
        <v>8.369323447636667E-3</v>
      </c>
      <c r="D58" s="12">
        <f>'Final Data'!I58</f>
        <v>-4.034325197815674E-2</v>
      </c>
      <c r="E58"/>
    </row>
    <row r="59" spans="1:5" x14ac:dyDescent="0.2">
      <c r="A59" s="2">
        <v>38868</v>
      </c>
      <c r="B59" s="11">
        <f>'Final Data'!G59-'Final Data'!D59</f>
        <v>2.7575241984271033E-2</v>
      </c>
      <c r="C59" s="11">
        <f>'Final Data'!H59-'Final Data'!D59</f>
        <v>-3.4860210336232773E-2</v>
      </c>
      <c r="D59" s="12">
        <f>'Final Data'!I59</f>
        <v>-1.6142143769597033E-2</v>
      </c>
      <c r="E59"/>
    </row>
    <row r="60" spans="1:5" x14ac:dyDescent="0.2">
      <c r="A60" s="2">
        <v>38898</v>
      </c>
      <c r="B60" s="11">
        <f>'Final Data'!G60-'Final Data'!D60</f>
        <v>-6.4224360384135502E-3</v>
      </c>
      <c r="C60" s="11">
        <f>'Final Data'!H60-'Final Data'!D60</f>
        <v>-3.7045993753771597E-3</v>
      </c>
      <c r="D60" s="12">
        <f>'Final Data'!I60</f>
        <v>5.9017941454202081E-3</v>
      </c>
      <c r="E60"/>
    </row>
    <row r="61" spans="1:5" x14ac:dyDescent="0.2">
      <c r="A61" s="2">
        <v>38929</v>
      </c>
      <c r="B61" s="11">
        <f>'Final Data'!G61-'Final Data'!D61</f>
        <v>-3.9243972804116206E-2</v>
      </c>
      <c r="C61" s="11">
        <f>'Final Data'!H61-'Final Data'!D61</f>
        <v>9.3397102818453762E-4</v>
      </c>
      <c r="D61" s="12">
        <f>'Final Data'!I61</f>
        <v>9.3874677305794759E-4</v>
      </c>
      <c r="E61"/>
    </row>
    <row r="62" spans="1:5" x14ac:dyDescent="0.2">
      <c r="A62" s="2">
        <v>38960</v>
      </c>
      <c r="B62" s="11">
        <f>'Final Data'!G62-'Final Data'!D62</f>
        <v>7.4343936624009857E-2</v>
      </c>
      <c r="C62" s="11">
        <f>'Final Data'!H62-'Final Data'!D62</f>
        <v>1.6959933161013997E-2</v>
      </c>
      <c r="D62" s="12">
        <f>'Final Data'!I62</f>
        <v>-2.9308323563892145E-3</v>
      </c>
      <c r="E62"/>
    </row>
    <row r="63" spans="1:5" x14ac:dyDescent="0.2">
      <c r="A63" s="2">
        <v>38990</v>
      </c>
      <c r="B63" s="11">
        <f>'Final Data'!G63-'Final Data'!D63</f>
        <v>-8.672316384180671E-4</v>
      </c>
      <c r="C63" s="11">
        <f>'Final Data'!H63-'Final Data'!D63</f>
        <v>2.0710308329498391E-2</v>
      </c>
      <c r="D63" s="12">
        <f>'Final Data'!I63</f>
        <v>1.0817166372721948E-2</v>
      </c>
      <c r="E63"/>
    </row>
    <row r="64" spans="1:5" x14ac:dyDescent="0.2">
      <c r="A64" s="2">
        <v>39021</v>
      </c>
      <c r="B64" s="11">
        <f>'Final Data'!G64-'Final Data'!D64</f>
        <v>4.004328263624829E-2</v>
      </c>
      <c r="C64" s="11">
        <f>'Final Data'!H64-'Final Data'!D64</f>
        <v>2.7200027449219049E-2</v>
      </c>
      <c r="D64" s="12">
        <f>'Final Data'!I64</f>
        <v>-7.5607770152379397E-3</v>
      </c>
      <c r="E64"/>
    </row>
    <row r="65" spans="1:5" x14ac:dyDescent="0.2">
      <c r="A65" s="2">
        <v>39051</v>
      </c>
      <c r="B65" s="11">
        <f>'Final Data'!G65-'Final Data'!D65</f>
        <v>-2.8824110032362477E-2</v>
      </c>
      <c r="C65" s="11">
        <f>'Final Data'!H65-'Final Data'!D65</f>
        <v>1.212434501778055E-2</v>
      </c>
      <c r="D65" s="12">
        <f>'Final Data'!I65</f>
        <v>-2.8129395218002715E-2</v>
      </c>
      <c r="E65"/>
    </row>
    <row r="66" spans="1:5" x14ac:dyDescent="0.2">
      <c r="A66" s="2">
        <v>39082</v>
      </c>
      <c r="B66" s="11">
        <f>'Final Data'!G66-'Final Data'!D66</f>
        <v>1.7190329324763352E-2</v>
      </c>
      <c r="C66" s="11">
        <f>'Final Data'!H66-'Final Data'!D66</f>
        <v>8.6791077633395549E-3</v>
      </c>
      <c r="D66" s="12">
        <f>'Final Data'!I66</f>
        <v>9.6478533526290055E-3</v>
      </c>
      <c r="E66"/>
    </row>
    <row r="67" spans="1:5" x14ac:dyDescent="0.2">
      <c r="A67" s="2">
        <v>39113</v>
      </c>
      <c r="B67" s="11">
        <f>'Final Data'!G67-'Final Data'!D67</f>
        <v>-3.5232656514382427E-2</v>
      </c>
      <c r="C67" s="11">
        <f>'Final Data'!H67-'Final Data'!D67</f>
        <v>9.8642153752145217E-3</v>
      </c>
      <c r="D67" s="12">
        <f>'Final Data'!I67</f>
        <v>1.0630673674151943E-2</v>
      </c>
      <c r="E67"/>
    </row>
    <row r="68" spans="1:5" x14ac:dyDescent="0.2">
      <c r="A68" s="2">
        <v>39141</v>
      </c>
      <c r="B68" s="11">
        <f>'Final Data'!G68-'Final Data'!D68</f>
        <v>3.8173148924280552E-2</v>
      </c>
      <c r="C68" s="11">
        <f>'Final Data'!H68-'Final Data'!D68</f>
        <v>-2.6199513280489566E-2</v>
      </c>
      <c r="D68" s="12">
        <f>'Final Data'!I68</f>
        <v>-1.2291691289445766E-2</v>
      </c>
      <c r="E68"/>
    </row>
    <row r="69" spans="1:5" x14ac:dyDescent="0.2">
      <c r="A69" s="2">
        <v>39172</v>
      </c>
      <c r="B69" s="11">
        <f>'Final Data'!G69-'Final Data'!D69</f>
        <v>-3.1360678391959829E-2</v>
      </c>
      <c r="C69" s="11">
        <f>'Final Data'!H69-'Final Data'!D69</f>
        <v>5.7977466590845442E-3</v>
      </c>
      <c r="D69" s="12">
        <f>'Final Data'!I69</f>
        <v>-7.6582505683856217E-3</v>
      </c>
      <c r="E69"/>
    </row>
    <row r="70" spans="1:5" x14ac:dyDescent="0.2">
      <c r="A70" s="2">
        <v>39202</v>
      </c>
      <c r="B70" s="11">
        <f>'Final Data'!G70-'Final Data'!D70</f>
        <v>-7.9206611570247956E-2</v>
      </c>
      <c r="C70" s="11">
        <f>'Final Data'!H70-'Final Data'!D70</f>
        <v>3.9282426631008519E-2</v>
      </c>
      <c r="D70" s="12">
        <f>'Final Data'!I70</f>
        <v>-1.7846376462076496E-2</v>
      </c>
      <c r="E70"/>
    </row>
    <row r="71" spans="1:5" x14ac:dyDescent="0.2">
      <c r="A71" s="2">
        <v>39233</v>
      </c>
      <c r="B71" s="11">
        <f>'Final Data'!G71-'Final Data'!D71</f>
        <v>0.1063830652368187</v>
      </c>
      <c r="C71" s="11">
        <f>'Final Data'!H71-'Final Data'!D71</f>
        <v>2.8531507465371343E-2</v>
      </c>
      <c r="D71" s="12">
        <f>'Final Data'!I71</f>
        <v>1.043585021485567E-2</v>
      </c>
      <c r="E71"/>
    </row>
    <row r="72" spans="1:5" x14ac:dyDescent="0.2">
      <c r="A72" s="2">
        <v>39263</v>
      </c>
      <c r="B72" s="11">
        <f>'Final Data'!G72-'Final Data'!D72</f>
        <v>-2.831515761234079E-2</v>
      </c>
      <c r="C72" s="11">
        <f>'Final Data'!H72-'Final Data'!D72</f>
        <v>-2.1402809355808152E-2</v>
      </c>
      <c r="D72" s="12">
        <f>'Final Data'!I72</f>
        <v>-4.6172539489671384E-3</v>
      </c>
      <c r="E72"/>
    </row>
    <row r="73" spans="1:5" x14ac:dyDescent="0.2">
      <c r="A73" s="2">
        <v>39294</v>
      </c>
      <c r="B73" s="11">
        <f>'Final Data'!G73-'Final Data'!D73</f>
        <v>-4.6569202599546056E-2</v>
      </c>
      <c r="C73" s="11">
        <f>'Final Data'!H73-'Final Data'!D73</f>
        <v>-3.6204754540011978E-2</v>
      </c>
      <c r="D73" s="12">
        <f>'Final Data'!I73</f>
        <v>-1.4038085937500069E-2</v>
      </c>
      <c r="E73"/>
    </row>
    <row r="74" spans="1:5" x14ac:dyDescent="0.2">
      <c r="A74" s="2">
        <v>39325</v>
      </c>
      <c r="B74" s="11">
        <f>'Final Data'!G74-'Final Data'!D74</f>
        <v>-1.799885825075398E-2</v>
      </c>
      <c r="C74" s="11">
        <f>'Final Data'!H74-'Final Data'!D74</f>
        <v>9.4995842781557399E-3</v>
      </c>
      <c r="D74" s="12">
        <f>'Final Data'!I74</f>
        <v>2.4761668936498988E-4</v>
      </c>
      <c r="E74"/>
    </row>
    <row r="75" spans="1:5" x14ac:dyDescent="0.2">
      <c r="A75" s="2">
        <v>39355</v>
      </c>
      <c r="B75" s="11">
        <f>'Final Data'!G75-'Final Data'!D75</f>
        <v>1.2955800903657862E-3</v>
      </c>
      <c r="C75" s="11">
        <f>'Final Data'!H75-'Final Data'!D75</f>
        <v>3.2962562189054696E-2</v>
      </c>
      <c r="D75" s="12">
        <f>'Final Data'!I75</f>
        <v>-3.7999752444609569E-2</v>
      </c>
      <c r="E75"/>
    </row>
    <row r="76" spans="1:5" x14ac:dyDescent="0.2">
      <c r="A76" s="2">
        <v>39386</v>
      </c>
      <c r="B76" s="11">
        <f>'Final Data'!G76-'Final Data'!D76</f>
        <v>7.5691644894404581E-2</v>
      </c>
      <c r="C76" s="11">
        <f>'Final Data'!H76-'Final Data'!D76</f>
        <v>1.1460534014496641E-2</v>
      </c>
      <c r="D76" s="12">
        <f>'Final Data'!I76</f>
        <v>-1.5954709212557833E-2</v>
      </c>
      <c r="E76"/>
    </row>
    <row r="77" spans="1:5" x14ac:dyDescent="0.2">
      <c r="A77" s="2">
        <v>39416</v>
      </c>
      <c r="B77" s="11">
        <f>'Final Data'!G77-'Final Data'!D77</f>
        <v>-9.3824031476997569E-2</v>
      </c>
      <c r="C77" s="11">
        <f>'Final Data'!H77-'Final Data'!D77</f>
        <v>-4.7106579966438737E-2</v>
      </c>
      <c r="D77" s="12">
        <f>'Final Data'!I77</f>
        <v>-4.3148535564853331E-3</v>
      </c>
      <c r="E77"/>
    </row>
    <row r="78" spans="1:5" x14ac:dyDescent="0.2">
      <c r="A78" s="2">
        <v>39447</v>
      </c>
      <c r="B78" s="11">
        <f>'Final Data'!G78-'Final Data'!D78</f>
        <v>-1.4062094984465182E-2</v>
      </c>
      <c r="C78" s="11">
        <f>'Final Data'!H78-'Final Data'!D78</f>
        <v>-1.0874707987306609E-2</v>
      </c>
      <c r="D78" s="12">
        <f>'Final Data'!I78</f>
        <v>7.0912672357188707E-3</v>
      </c>
      <c r="E78"/>
    </row>
    <row r="79" spans="1:5" x14ac:dyDescent="0.2">
      <c r="A79" s="2">
        <v>39478</v>
      </c>
      <c r="B79" s="11">
        <f>'Final Data'!G79-'Final Data'!D79</f>
        <v>-9.680794221124335E-2</v>
      </c>
      <c r="C79" s="11">
        <f>'Final Data'!H79-'Final Data'!D79</f>
        <v>-6.2589766639426184E-2</v>
      </c>
      <c r="D79" s="12">
        <f>'Final Data'!I79</f>
        <v>-1.9689659668796336E-2</v>
      </c>
      <c r="E79"/>
    </row>
    <row r="80" spans="1:5" x14ac:dyDescent="0.2">
      <c r="A80" s="2">
        <v>39507</v>
      </c>
      <c r="B80" s="11">
        <f>'Final Data'!G80-'Final Data'!D80</f>
        <v>-9.9176514399205128E-3</v>
      </c>
      <c r="C80" s="11">
        <f>'Final Data'!H80-'Final Data'!D80</f>
        <v>-3.6472914399709892E-2</v>
      </c>
      <c r="D80" s="12">
        <f>'Final Data'!I80</f>
        <v>-1.9553072625698498E-2</v>
      </c>
      <c r="E80"/>
    </row>
    <row r="81" spans="1:5" x14ac:dyDescent="0.2">
      <c r="A81" s="2">
        <v>39538</v>
      </c>
      <c r="B81" s="11">
        <f>'Final Data'!G81-'Final Data'!D81</f>
        <v>6.0059678765123012E-2</v>
      </c>
      <c r="C81" s="11">
        <f>'Final Data'!H81-'Final Data'!D81</f>
        <v>-6.9538378676285368E-3</v>
      </c>
      <c r="D81" s="12">
        <f>'Final Data'!I81</f>
        <v>-2.5912359245692535E-2</v>
      </c>
      <c r="E81"/>
    </row>
    <row r="82" spans="1:5" x14ac:dyDescent="0.2">
      <c r="A82" s="2">
        <v>39568</v>
      </c>
      <c r="B82" s="11">
        <f>'Final Data'!G82-'Final Data'!D82</f>
        <v>4.172374970511919E-2</v>
      </c>
      <c r="C82" s="11">
        <f>'Final Data'!H82-'Final Data'!D82</f>
        <v>4.6579245104709961E-2</v>
      </c>
      <c r="D82" s="12">
        <f>'Final Data'!I82</f>
        <v>9.8885793871867408E-3</v>
      </c>
      <c r="E82"/>
    </row>
    <row r="83" spans="1:5" x14ac:dyDescent="0.2">
      <c r="A83" s="2">
        <v>39599</v>
      </c>
      <c r="B83" s="11">
        <f>'Final Data'!G83-'Final Data'!D83</f>
        <v>-2.7668099547511437E-2</v>
      </c>
      <c r="C83" s="11">
        <f>'Final Data'!H83-'Final Data'!D83</f>
        <v>9.0312933025405474E-3</v>
      </c>
      <c r="D83" s="12">
        <f>'Final Data'!I83</f>
        <v>5.1027444490413781E-3</v>
      </c>
      <c r="E83"/>
    </row>
    <row r="84" spans="1:5" x14ac:dyDescent="0.2">
      <c r="A84" s="2">
        <v>39629</v>
      </c>
      <c r="B84" s="11">
        <f>'Final Data'!G84-'Final Data'!D84</f>
        <v>-2.8046457607433184E-2</v>
      </c>
      <c r="C84" s="11">
        <f>'Final Data'!H84-'Final Data'!D84</f>
        <v>-8.7308768923164873E-2</v>
      </c>
      <c r="D84" s="12">
        <f>'Final Data'!I84</f>
        <v>-5.7628979143798265E-3</v>
      </c>
      <c r="E84"/>
    </row>
    <row r="85" spans="1:5" x14ac:dyDescent="0.2">
      <c r="A85" s="2">
        <v>39660</v>
      </c>
      <c r="B85" s="11">
        <f>'Final Data'!G85-'Final Data'!D85</f>
        <v>1.8040075576770141E-2</v>
      </c>
      <c r="C85" s="11">
        <f>'Final Data'!H85-'Final Data'!D85</f>
        <v>-1.1135416666666596E-2</v>
      </c>
      <c r="D85" s="12">
        <f>'Final Data'!I85</f>
        <v>1.062655258073434E-2</v>
      </c>
      <c r="E85"/>
    </row>
    <row r="86" spans="1:5" x14ac:dyDescent="0.2">
      <c r="A86" s="2">
        <v>39691</v>
      </c>
      <c r="B86" s="11">
        <f>'Final Data'!G86-'Final Data'!D86</f>
        <v>3.7742579801763869E-2</v>
      </c>
      <c r="C86" s="11">
        <f>'Final Data'!H86-'Final Data'!D86</f>
        <v>1.0792526695071166E-2</v>
      </c>
      <c r="D86" s="12">
        <f>'Final Data'!I86</f>
        <v>5.6670763348354379E-2</v>
      </c>
      <c r="E86"/>
    </row>
    <row r="87" spans="1:5" x14ac:dyDescent="0.2">
      <c r="A87" s="2">
        <v>39721</v>
      </c>
      <c r="B87" s="11">
        <f>'Final Data'!G87-'Final Data'!D87</f>
        <v>-3.7578255971158228E-2</v>
      </c>
      <c r="C87" s="11">
        <f>'Final Data'!H87-'Final Data'!D87</f>
        <v>-9.1589008419083157E-2</v>
      </c>
      <c r="D87" s="12">
        <f>'Final Data'!I87</f>
        <v>2.6751098475058251E-2</v>
      </c>
      <c r="E87"/>
    </row>
    <row r="88" spans="1:5" x14ac:dyDescent="0.2">
      <c r="A88" s="2">
        <v>39752</v>
      </c>
      <c r="B88" s="11">
        <f>'Final Data'!G88-'Final Data'!D88</f>
        <v>-0.18255614035087711</v>
      </c>
      <c r="C88" s="11">
        <f>'Final Data'!H88-'Final Data'!D88</f>
        <v>-0.16951015089163246</v>
      </c>
      <c r="D88" s="12">
        <f>'Final Data'!I88</f>
        <v>7.7784770295783415E-2</v>
      </c>
      <c r="E88"/>
    </row>
    <row r="89" spans="1:5" x14ac:dyDescent="0.2">
      <c r="A89" s="2">
        <v>39782</v>
      </c>
      <c r="B89" s="11">
        <f>'Final Data'!G89-'Final Data'!D89</f>
        <v>0.17480450643776821</v>
      </c>
      <c r="C89" s="11">
        <f>'Final Data'!H89-'Final Data'!D89</f>
        <v>-7.4954734379300766E-2</v>
      </c>
      <c r="D89" s="12">
        <f>'Final Data'!I89</f>
        <v>1.0393553661100089E-2</v>
      </c>
      <c r="E89"/>
    </row>
    <row r="90" spans="1:5" x14ac:dyDescent="0.2">
      <c r="A90" s="2">
        <v>39813</v>
      </c>
      <c r="B90" s="11">
        <f>'Final Data'!G90-'Final Data'!D90</f>
        <v>-4.1981583861016365E-2</v>
      </c>
      <c r="C90" s="11">
        <f>'Final Data'!H90-'Final Data'!D90</f>
        <v>7.7190898608941452E-3</v>
      </c>
      <c r="D90" s="12">
        <f>'Final Data'!I90</f>
        <v>-6.2066574202496422E-2</v>
      </c>
      <c r="E90"/>
    </row>
    <row r="91" spans="1:5" x14ac:dyDescent="0.2">
      <c r="A91" s="2">
        <v>39844</v>
      </c>
      <c r="B91" s="11">
        <f>'Final Data'!G91-'Final Data'!D91</f>
        <v>-7.6637455516014363E-2</v>
      </c>
      <c r="C91" s="11">
        <f>'Final Data'!H91-'Final Data'!D91</f>
        <v>-8.5709588131089531E-2</v>
      </c>
      <c r="D91" s="12">
        <f>'Final Data'!I91</f>
        <v>5.7670979667282712E-2</v>
      </c>
      <c r="E91"/>
    </row>
    <row r="92" spans="1:5" x14ac:dyDescent="0.2">
      <c r="A92" s="2">
        <v>39872</v>
      </c>
      <c r="B92" s="11">
        <f>'Final Data'!G92-'Final Data'!D92</f>
        <v>-6.0138838425543621E-2</v>
      </c>
      <c r="C92" s="11">
        <f>'Final Data'!H92-'Final Data'!D92</f>
        <v>-0.11007400411672109</v>
      </c>
      <c r="D92" s="12">
        <f>'Final Data'!I92</f>
        <v>2.7263194687172358E-2</v>
      </c>
      <c r="E92"/>
    </row>
    <row r="93" spans="1:5" x14ac:dyDescent="0.2">
      <c r="A93" s="2">
        <v>39903</v>
      </c>
      <c r="B93" s="11">
        <f>'Final Data'!G93-'Final Data'!D93</f>
        <v>2.9433735968765196E-2</v>
      </c>
      <c r="C93" s="11">
        <f>'Final Data'!H93-'Final Data'!D93</f>
        <v>8.5288886999501143E-2</v>
      </c>
      <c r="D93" s="12">
        <f>'Final Data'!I93</f>
        <v>-3.0168991720539828E-2</v>
      </c>
      <c r="E93"/>
    </row>
    <row r="94" spans="1:5" x14ac:dyDescent="0.2">
      <c r="A94" s="2">
        <v>39933</v>
      </c>
      <c r="B94" s="11">
        <f>'Final Data'!G94-'Final Data'!D94</f>
        <v>1.1043230944256615E-3</v>
      </c>
      <c r="C94" s="11">
        <f>'Final Data'!H94-'Final Data'!D94</f>
        <v>9.3838079124368104E-2</v>
      </c>
      <c r="D94" s="12">
        <f>'Final Data'!I94</f>
        <v>-8.069231668810805E-3</v>
      </c>
      <c r="E94"/>
    </row>
    <row r="95" spans="1:5" x14ac:dyDescent="0.2">
      <c r="A95" s="2">
        <v>39964</v>
      </c>
      <c r="B95" s="11">
        <f>'Final Data'!G95-'Final Data'!D95</f>
        <v>7.9712878787878638E-2</v>
      </c>
      <c r="C95" s="11">
        <f>'Final Data'!H95-'Final Data'!D95</f>
        <v>5.293099602810885E-2</v>
      </c>
      <c r="D95" s="12">
        <f>'Final Data'!I95</f>
        <v>-6.5904267861353338E-2</v>
      </c>
      <c r="E95"/>
    </row>
    <row r="96" spans="1:5" x14ac:dyDescent="0.2">
      <c r="A96" s="2">
        <v>39994</v>
      </c>
      <c r="B96" s="11">
        <f>'Final Data'!G96-'Final Data'!D96</f>
        <v>-6.7755452512496719E-2</v>
      </c>
      <c r="C96" s="11">
        <f>'Final Data'!H96-'Final Data'!D96</f>
        <v>7.5937511333476715E-5</v>
      </c>
      <c r="D96" s="12">
        <f>'Final Data'!I96</f>
        <v>1.173797803862164E-2</v>
      </c>
      <c r="E96"/>
    </row>
    <row r="97" spans="1:5" x14ac:dyDescent="0.2">
      <c r="A97" s="2">
        <v>40025</v>
      </c>
      <c r="B97" s="11">
        <f>'Final Data'!G97-'Final Data'!D97</f>
        <v>5.0955568096313082E-2</v>
      </c>
      <c r="C97" s="11">
        <f>'Final Data'!H97-'Final Data'!D97</f>
        <v>7.407021465607895E-2</v>
      </c>
      <c r="D97" s="12">
        <f>'Final Data'!I97</f>
        <v>-2.2579840319361305E-2</v>
      </c>
      <c r="E97"/>
    </row>
    <row r="98" spans="1:5" x14ac:dyDescent="0.2">
      <c r="A98" s="2">
        <v>40056</v>
      </c>
      <c r="B98" s="11">
        <f>'Final Data'!G98-'Final Data'!D98</f>
        <v>2.943853467561525E-2</v>
      </c>
      <c r="C98" s="11">
        <f>'Final Data'!H98-'Final Data'!D98</f>
        <v>3.342732067510551E-2</v>
      </c>
      <c r="D98" s="12">
        <f>'Final Data'!I98</f>
        <v>-2.2973835354179019E-3</v>
      </c>
      <c r="E98"/>
    </row>
    <row r="99" spans="1:5" x14ac:dyDescent="0.2">
      <c r="A99" s="2">
        <v>40086</v>
      </c>
      <c r="B99" s="11">
        <f>'Final Data'!G99-'Final Data'!D99</f>
        <v>2.4721838331160251E-2</v>
      </c>
      <c r="C99" s="11">
        <f>'Final Data'!H99-'Final Data'!D99</f>
        <v>3.5713276504017129E-2</v>
      </c>
      <c r="D99" s="12">
        <f>'Final Data'!I99</f>
        <v>-1.9444799795317845E-2</v>
      </c>
      <c r="E99"/>
    </row>
    <row r="100" spans="1:5" x14ac:dyDescent="0.2">
      <c r="A100" s="2">
        <v>40117</v>
      </c>
      <c r="B100" s="11">
        <f>'Final Data'!G100-'Final Data'!D100</f>
        <v>1.2714312977099237E-2</v>
      </c>
      <c r="C100" s="11">
        <f>'Final Data'!H100-'Final Data'!D100</f>
        <v>-1.977940513354132E-2</v>
      </c>
      <c r="D100" s="12">
        <f>'Final Data'!I100</f>
        <v>-4.5662100456622112E-3</v>
      </c>
      <c r="E100"/>
    </row>
    <row r="101" spans="1:5" x14ac:dyDescent="0.2">
      <c r="A101" s="2">
        <v>40147</v>
      </c>
      <c r="B101" s="11">
        <f>'Final Data'!G101-'Final Data'!D101</f>
        <v>9.1641876046901313E-2</v>
      </c>
      <c r="C101" s="11">
        <f>'Final Data'!H101-'Final Data'!D101</f>
        <v>5.7258174097664406E-2</v>
      </c>
      <c r="D101" s="12">
        <f>'Final Data'!I101</f>
        <v>-1.9921363040629043E-2</v>
      </c>
      <c r="E101"/>
    </row>
    <row r="102" spans="1:5" x14ac:dyDescent="0.2">
      <c r="A102" s="2">
        <v>40178</v>
      </c>
      <c r="B102" s="11">
        <f>'Final Data'!G102-'Final Data'!D102</f>
        <v>-1.4532757959340295E-2</v>
      </c>
      <c r="C102" s="11">
        <f>'Final Data'!H102-'Final Data'!D102</f>
        <v>1.7765133260313985E-2</v>
      </c>
      <c r="D102" s="12">
        <f>'Final Data'!I102</f>
        <v>4.1187483284300594E-2</v>
      </c>
      <c r="E102"/>
    </row>
    <row r="103" spans="1:5" x14ac:dyDescent="0.2">
      <c r="A103" s="2">
        <v>40209</v>
      </c>
      <c r="B103" s="11">
        <f>'Final Data'!G103-'Final Data'!D103</f>
        <v>-4.742442005293479E-2</v>
      </c>
      <c r="C103" s="11">
        <f>'Final Data'!H103-'Final Data'!D103</f>
        <v>-3.6964025647923789E-2</v>
      </c>
      <c r="D103" s="12">
        <f>'Final Data'!I103</f>
        <v>2.0549704597996332E-2</v>
      </c>
      <c r="E103"/>
    </row>
    <row r="104" spans="1:5" x14ac:dyDescent="0.2">
      <c r="A104" s="2">
        <v>40237</v>
      </c>
      <c r="B104" s="11">
        <f>'Final Data'!G104-'Final Data'!D104</f>
        <v>2.0027966413336609E-2</v>
      </c>
      <c r="C104" s="11">
        <f>'Final Data'!H104-'Final Data'!D104</f>
        <v>2.8419273209795985E-2</v>
      </c>
      <c r="D104" s="12">
        <f>'Final Data'!I104</f>
        <v>1.1326453561540471E-2</v>
      </c>
      <c r="E104"/>
    </row>
    <row r="105" spans="1:5" x14ac:dyDescent="0.2">
      <c r="A105" s="2">
        <v>40268</v>
      </c>
      <c r="B105" s="11">
        <f>'Final Data'!G105-'Final Data'!D105</f>
        <v>6.8608477529440021E-2</v>
      </c>
      <c r="C105" s="11">
        <f>'Final Data'!H105-'Final Data'!D105</f>
        <v>5.8634619737437839E-2</v>
      </c>
      <c r="D105" s="12">
        <f>'Final Data'!I105</f>
        <v>8.8352414136385476E-3</v>
      </c>
      <c r="E105"/>
    </row>
    <row r="106" spans="1:5" x14ac:dyDescent="0.2">
      <c r="A106" s="2">
        <v>40298</v>
      </c>
      <c r="B106" s="11">
        <f>'Final Data'!G106-'Final Data'!D106</f>
        <v>-2.4852443594932948E-2</v>
      </c>
      <c r="C106" s="11">
        <f>'Final Data'!H106-'Final Data'!D106</f>
        <v>1.4677244740892726E-2</v>
      </c>
      <c r="D106" s="12">
        <f>'Final Data'!I106</f>
        <v>9.8680152954238494E-3</v>
      </c>
      <c r="E106"/>
    </row>
    <row r="107" spans="1:5" x14ac:dyDescent="0.2">
      <c r="A107" s="2">
        <v>40329</v>
      </c>
      <c r="B107" s="11">
        <f>'Final Data'!G107-'Final Data'!D107</f>
        <v>-5.7537958266082434E-2</v>
      </c>
      <c r="C107" s="11">
        <f>'Final Data'!H107-'Final Data'!D107</f>
        <v>-8.2117078874188884E-2</v>
      </c>
      <c r="D107" s="12">
        <f>'Final Data'!I107</f>
        <v>5.7652375717601061E-2</v>
      </c>
      <c r="E107"/>
    </row>
    <row r="108" spans="1:5" x14ac:dyDescent="0.2">
      <c r="A108" s="2">
        <v>40359</v>
      </c>
      <c r="B108" s="11">
        <f>'Final Data'!G108-'Final Data'!D108</f>
        <v>-1.5308007175473039E-2</v>
      </c>
      <c r="C108" s="11">
        <f>'Final Data'!H108-'Final Data'!D108</f>
        <v>-5.4024537971972375E-2</v>
      </c>
      <c r="D108" s="12">
        <f>'Final Data'!I108</f>
        <v>-6.5827462755515343E-3</v>
      </c>
      <c r="E108"/>
    </row>
    <row r="109" spans="1:5" x14ac:dyDescent="0.2">
      <c r="A109" s="2">
        <v>40390</v>
      </c>
      <c r="B109" s="11">
        <f>'Final Data'!G109-'Final Data'!D109</f>
        <v>2.4970268256333958E-2</v>
      </c>
      <c r="C109" s="11">
        <f>'Final Data'!H109-'Final Data'!D109</f>
        <v>6.8671535526017777E-2</v>
      </c>
      <c r="D109" s="12">
        <f>'Final Data'!I109</f>
        <v>-5.2080911415949664E-2</v>
      </c>
      <c r="E109"/>
    </row>
    <row r="110" spans="1:5" x14ac:dyDescent="0.2">
      <c r="A110" s="2">
        <v>40421</v>
      </c>
      <c r="B110" s="11">
        <f>'Final Data'!G110-'Final Data'!D110</f>
        <v>-6.4586931588724736E-2</v>
      </c>
      <c r="C110" s="11">
        <f>'Final Data'!H110-'Final Data'!D110</f>
        <v>-4.7609731299927342E-2</v>
      </c>
      <c r="D110" s="12">
        <f>'Final Data'!I110</f>
        <v>2.0358106450821638E-2</v>
      </c>
      <c r="E110"/>
    </row>
    <row r="111" spans="1:5" x14ac:dyDescent="0.2">
      <c r="A111" s="2">
        <v>40451</v>
      </c>
      <c r="B111" s="11">
        <f>'Final Data'!G111-'Final Data'!D111</f>
        <v>8.846142191142195E-2</v>
      </c>
      <c r="C111" s="11">
        <f>'Final Data'!H111-'Final Data'!D111</f>
        <v>8.746553098891334E-2</v>
      </c>
      <c r="D111" s="12">
        <f>'Final Data'!I111</f>
        <v>-5.3846153846153891E-2</v>
      </c>
      <c r="E111"/>
    </row>
    <row r="112" spans="1:5" x14ac:dyDescent="0.2">
      <c r="A112" s="2">
        <v>40482</v>
      </c>
      <c r="B112" s="11">
        <f>'Final Data'!G112-'Final Data'!D112</f>
        <v>5.8412955032119934E-2</v>
      </c>
      <c r="C112" s="11">
        <f>'Final Data'!H112-'Final Data'!D112</f>
        <v>3.6774325271643801E-2</v>
      </c>
      <c r="D112" s="12">
        <f>'Final Data'!I112</f>
        <v>-1.8419715447154508E-2</v>
      </c>
      <c r="E112"/>
    </row>
    <row r="113" spans="1:5" x14ac:dyDescent="0.2">
      <c r="A113" s="2">
        <v>40512</v>
      </c>
      <c r="B113" s="11">
        <f>'Final Data'!G113-'Final Data'!D113</f>
        <v>1.6481568891885433E-3</v>
      </c>
      <c r="C113" s="11">
        <f>'Final Data'!H113-'Final Data'!D113</f>
        <v>-2.5162638384179452E-3</v>
      </c>
      <c r="D113" s="12">
        <f>'Final Data'!I113</f>
        <v>5.0731202277727476E-2</v>
      </c>
      <c r="E113"/>
    </row>
    <row r="114" spans="1:5" x14ac:dyDescent="0.2">
      <c r="A114" s="2">
        <v>40543</v>
      </c>
      <c r="B114" s="11">
        <f>'Final Data'!G114-'Final Data'!D114</f>
        <v>3.830828098122805E-2</v>
      </c>
      <c r="C114" s="11">
        <f>'Final Data'!H114-'Final Data'!D114</f>
        <v>6.5252975434138008E-2</v>
      </c>
      <c r="D114" s="12">
        <f>'Final Data'!I114</f>
        <v>-2.6604261608572443E-2</v>
      </c>
      <c r="E114"/>
    </row>
    <row r="115" spans="1:5" x14ac:dyDescent="0.2">
      <c r="A115" s="2">
        <v>40574</v>
      </c>
      <c r="B115" s="11">
        <f>'Final Data'!G115-'Final Data'!D115</f>
        <v>3.4879321521175399E-2</v>
      </c>
      <c r="C115" s="11">
        <f>'Final Data'!H115-'Final Data'!D115</f>
        <v>2.2537213740458018E-2</v>
      </c>
      <c r="D115" s="12">
        <f>'Final Data'!I115</f>
        <v>-1.6449449576110303E-2</v>
      </c>
      <c r="E115"/>
    </row>
    <row r="116" spans="1:5" x14ac:dyDescent="0.2">
      <c r="A116" s="2">
        <v>40602</v>
      </c>
      <c r="B116" s="11">
        <f>'Final Data'!G116-'Final Data'!D116</f>
        <v>4.3733002783576926E-2</v>
      </c>
      <c r="C116" s="11">
        <f>'Final Data'!H116-'Final Data'!D116</f>
        <v>3.1848746209470598E-2</v>
      </c>
      <c r="D116" s="12">
        <f>'Final Data'!I116</f>
        <v>-1.0806638363566235E-2</v>
      </c>
      <c r="E116"/>
    </row>
    <row r="117" spans="1:5" x14ac:dyDescent="0.2">
      <c r="A117" s="2">
        <v>40633</v>
      </c>
      <c r="B117" s="11">
        <f>'Final Data'!G117-'Final Data'!D117</f>
        <v>2.6158333333333381E-2</v>
      </c>
      <c r="C117" s="11">
        <f>'Final Data'!H117-'Final Data'!D117</f>
        <v>-1.0965189873418405E-3</v>
      </c>
      <c r="D117" s="12">
        <f>'Final Data'!I117</f>
        <v>-1.3395760176876071E-2</v>
      </c>
      <c r="E117"/>
    </row>
    <row r="118" spans="1:5" x14ac:dyDescent="0.2">
      <c r="A118" s="2">
        <v>40663</v>
      </c>
      <c r="B118" s="11">
        <f>'Final Data'!G118-'Final Data'!D118</f>
        <v>5.9425937114272666E-2</v>
      </c>
      <c r="C118" s="11">
        <f>'Final Data'!H118-'Final Data'!D118</f>
        <v>2.8494420978528653E-2</v>
      </c>
      <c r="D118" s="12">
        <f>'Final Data'!I118</f>
        <v>-3.8623780648563047E-2</v>
      </c>
      <c r="E118"/>
    </row>
    <row r="119" spans="1:5" x14ac:dyDescent="0.2">
      <c r="A119" s="2">
        <v>40694</v>
      </c>
      <c r="B119" s="11">
        <f>'Final Data'!G119-'Final Data'!D119</f>
        <v>1.3763576158940397E-2</v>
      </c>
      <c r="C119" s="11">
        <f>'Final Data'!H119-'Final Data'!D119</f>
        <v>-1.3527026498484305E-2</v>
      </c>
      <c r="D119" s="12">
        <f>'Final Data'!I119</f>
        <v>2.344714109419983E-2</v>
      </c>
      <c r="E119"/>
    </row>
    <row r="120" spans="1:5" x14ac:dyDescent="0.2">
      <c r="A120" s="2">
        <v>40724</v>
      </c>
      <c r="B120" s="11">
        <f>'Final Data'!G120-'Final Data'!D120</f>
        <v>-4.4101964253311553E-2</v>
      </c>
      <c r="C120" s="11">
        <f>'Final Data'!H120-'Final Data'!D120</f>
        <v>-1.8295576865893646E-2</v>
      </c>
      <c r="D120" s="12">
        <f>'Final Data'!I120</f>
        <v>-4.5551982851018673E-3</v>
      </c>
      <c r="E120"/>
    </row>
    <row r="121" spans="1:5" x14ac:dyDescent="0.2">
      <c r="A121" s="2">
        <v>40755</v>
      </c>
      <c r="B121" s="11">
        <f>'Final Data'!G121-'Final Data'!D121</f>
        <v>-2.2722551252847337E-2</v>
      </c>
      <c r="C121" s="11">
        <f>'Final Data'!H121-'Final Data'!D121</f>
        <v>-2.1562986521278173E-2</v>
      </c>
      <c r="D121" s="12">
        <f>'Final Data'!I121</f>
        <v>-5.3835800807535868E-3</v>
      </c>
      <c r="E121"/>
    </row>
    <row r="122" spans="1:5" x14ac:dyDescent="0.2">
      <c r="A122" s="2">
        <v>40786</v>
      </c>
      <c r="B122" s="11">
        <f>'Final Data'!G122-'Final Data'!D122</f>
        <v>-2.8363353725642533E-2</v>
      </c>
      <c r="C122" s="11">
        <f>'Final Data'!H122-'Final Data'!D122</f>
        <v>-5.6806290464030434E-2</v>
      </c>
      <c r="D122" s="12">
        <f>'Final Data'!I122</f>
        <v>2.9769959404600654E-3</v>
      </c>
      <c r="E122"/>
    </row>
    <row r="123" spans="1:5" x14ac:dyDescent="0.2">
      <c r="A123" s="2">
        <v>40816</v>
      </c>
      <c r="B123" s="11">
        <f>'Final Data'!G123-'Final Data'!D123</f>
        <v>-5.7582127390232572E-2</v>
      </c>
      <c r="C123" s="11">
        <f>'Final Data'!H123-'Final Data'!D123</f>
        <v>-7.1802703257035028E-2</v>
      </c>
      <c r="D123" s="12">
        <f>'Final Data'!I123</f>
        <v>5.9767943874797523E-2</v>
      </c>
      <c r="E123"/>
    </row>
    <row r="124" spans="1:5" x14ac:dyDescent="0.2">
      <c r="A124" s="2">
        <v>40847</v>
      </c>
      <c r="B124" s="11">
        <f>'Final Data'!G124-'Final Data'!D124</f>
        <v>0.10984547543301521</v>
      </c>
      <c r="C124" s="11">
        <f>'Final Data'!H124-'Final Data'!D124</f>
        <v>0.10772595309645853</v>
      </c>
      <c r="D124" s="12">
        <f>'Final Data'!I124</f>
        <v>-3.0299172501591285E-2</v>
      </c>
      <c r="E124"/>
    </row>
    <row r="125" spans="1:5" x14ac:dyDescent="0.2">
      <c r="A125" s="2">
        <v>40877</v>
      </c>
      <c r="B125" s="11">
        <f>'Final Data'!G125-'Final Data'!D125</f>
        <v>-2.3712443467736703E-2</v>
      </c>
      <c r="C125" s="11">
        <f>'Final Data'!H125-'Final Data'!D125</f>
        <v>-5.0433961009600957E-3</v>
      </c>
      <c r="D125" s="12">
        <f>'Final Data'!I125</f>
        <v>2.9014047525272334E-2</v>
      </c>
      <c r="E125"/>
    </row>
    <row r="126" spans="1:5" x14ac:dyDescent="0.2">
      <c r="A126" s="2">
        <v>40908</v>
      </c>
      <c r="B126" s="11">
        <f>'Final Data'!G126-'Final Data'!D126</f>
        <v>5.7145708553532876E-2</v>
      </c>
      <c r="C126" s="11">
        <f>'Final Data'!H126-'Final Data'!D126</f>
        <v>8.4920676289761358E-3</v>
      </c>
      <c r="D126" s="12">
        <f>'Final Data'!I126</f>
        <v>2.2965042102577334E-2</v>
      </c>
      <c r="E126"/>
    </row>
    <row r="127" spans="1:5" x14ac:dyDescent="0.2">
      <c r="A127" s="2">
        <v>40939</v>
      </c>
      <c r="B127" s="11">
        <f>'Final Data'!G127-'Final Data'!D127</f>
        <v>1.4223285811269576E-2</v>
      </c>
      <c r="C127" s="11">
        <f>'Final Data'!H127-'Final Data'!D127</f>
        <v>4.3541730279898362E-2</v>
      </c>
      <c r="D127" s="12">
        <f>'Final Data'!I127</f>
        <v>-1.1100024943876284E-2</v>
      </c>
      <c r="E127"/>
    </row>
    <row r="128" spans="1:5" x14ac:dyDescent="0.2">
      <c r="A128" s="2">
        <v>40968</v>
      </c>
      <c r="B128" s="11">
        <f>'Final Data'!G128-'Final Data'!D128</f>
        <v>-8.4638919313618256E-3</v>
      </c>
      <c r="C128" s="11">
        <f>'Final Data'!H128-'Final Data'!D128</f>
        <v>4.054595143756981E-2</v>
      </c>
      <c r="D128" s="12">
        <f>'Final Data'!I128</f>
        <v>-6.9365619876404503E-3</v>
      </c>
      <c r="E128"/>
    </row>
    <row r="129" spans="1:5" x14ac:dyDescent="0.2">
      <c r="A129" s="2">
        <v>40999</v>
      </c>
      <c r="B129" s="11">
        <f>'Final Data'!G129-'Final Data'!D129</f>
        <v>1.5974533627884098E-2</v>
      </c>
      <c r="C129" s="11">
        <f>'Final Data'!H129-'Final Data'!D129</f>
        <v>3.1297573283541984E-2</v>
      </c>
      <c r="D129" s="12">
        <f>'Final Data'!I129</f>
        <v>3.3020066040132731E-3</v>
      </c>
      <c r="E129"/>
    </row>
    <row r="130" spans="1:5" x14ac:dyDescent="0.2">
      <c r="A130" s="2">
        <v>41029</v>
      </c>
      <c r="B130" s="11">
        <f>'Final Data'!G130-'Final Data'!D130</f>
        <v>7.7329332004590157E-3</v>
      </c>
      <c r="C130" s="11">
        <f>'Final Data'!H130-'Final Data'!D130</f>
        <v>-7.5840699325522955E-3</v>
      </c>
      <c r="D130" s="12">
        <f>'Final Data'!I130</f>
        <v>-2.7848101265822642E-3</v>
      </c>
      <c r="E130"/>
    </row>
    <row r="131" spans="1:5" x14ac:dyDescent="0.2">
      <c r="A131" s="2">
        <v>41060</v>
      </c>
      <c r="B131" s="11">
        <f>'Final Data'!G131-'Final Data'!D131</f>
        <v>-6.2412630348795378E-2</v>
      </c>
      <c r="C131" s="11">
        <f>'Final Data'!H131-'Final Data'!D131</f>
        <v>-6.2690426711495911E-2</v>
      </c>
      <c r="D131" s="12">
        <f>'Final Data'!I131</f>
        <v>5.407463823305414E-2</v>
      </c>
      <c r="E131"/>
    </row>
    <row r="132" spans="1:5" x14ac:dyDescent="0.2">
      <c r="A132" s="2">
        <v>41090</v>
      </c>
      <c r="B132" s="11">
        <f>'Final Data'!G132-'Final Data'!D132</f>
        <v>6.7272515180568843E-2</v>
      </c>
      <c r="C132" s="11">
        <f>'Final Data'!H132-'Final Data'!D132</f>
        <v>3.9575916456791135E-2</v>
      </c>
      <c r="D132" s="12">
        <f>'Final Data'!I132</f>
        <v>-1.6979768786127298E-2</v>
      </c>
      <c r="E132"/>
    </row>
    <row r="133" spans="1:5" x14ac:dyDescent="0.2">
      <c r="A133" s="2">
        <v>41121</v>
      </c>
      <c r="B133" s="11">
        <f>'Final Data'!G133-'Final Data'!D133</f>
        <v>1.5931605581506778E-2</v>
      </c>
      <c r="C133" s="11">
        <f>'Final Data'!H133-'Final Data'!D133</f>
        <v>1.2494889394606697E-2</v>
      </c>
      <c r="D133" s="12">
        <f>'Final Data'!I133</f>
        <v>1.2372902119318942E-2</v>
      </c>
      <c r="E133"/>
    </row>
    <row r="134" spans="1:5" x14ac:dyDescent="0.2">
      <c r="A134" s="2">
        <v>41152</v>
      </c>
      <c r="B134" s="11">
        <f>'Final Data'!G134-'Final Data'!D134</f>
        <v>2.6980702917771906E-2</v>
      </c>
      <c r="C134" s="11">
        <f>'Final Data'!H134-'Final Data'!D134</f>
        <v>1.9717648444863307E-2</v>
      </c>
      <c r="D134" s="12">
        <f>'Final Data'!I134</f>
        <v>-1.7303969022265331E-2</v>
      </c>
      <c r="E134"/>
    </row>
    <row r="135" spans="1:5" x14ac:dyDescent="0.2">
      <c r="A135" s="2">
        <v>41182</v>
      </c>
      <c r="B135" s="11">
        <f>'Final Data'!G135-'Final Data'!D135</f>
        <v>9.9362258953167755E-3</v>
      </c>
      <c r="C135" s="11">
        <f>'Final Data'!H135-'Final Data'!D135</f>
        <v>2.419285511161676E-2</v>
      </c>
      <c r="D135" s="12">
        <f>'Final Data'!I135</f>
        <v>-1.5638468168944663E-2</v>
      </c>
      <c r="E135"/>
    </row>
    <row r="136" spans="1:5" x14ac:dyDescent="0.2">
      <c r="A136" s="2">
        <v>41213</v>
      </c>
      <c r="B136" s="11">
        <f>'Final Data'!G136-'Final Data'!D136</f>
        <v>-1.4906230821684239E-2</v>
      </c>
      <c r="C136" s="11">
        <f>'Final Data'!H136-'Final Data'!D136</f>
        <v>-1.9857050392170471E-2</v>
      </c>
      <c r="D136" s="12">
        <f>'Final Data'!I136</f>
        <v>-2.5018764073049814E-4</v>
      </c>
      <c r="E136"/>
    </row>
    <row r="137" spans="1:5" x14ac:dyDescent="0.2">
      <c r="A137" s="2">
        <v>41243</v>
      </c>
      <c r="B137" s="11">
        <f>'Final Data'!G137-'Final Data'!D137</f>
        <v>-1.8174379938859116E-2</v>
      </c>
      <c r="C137" s="11">
        <f>'Final Data'!H137-'Final Data'!D137</f>
        <v>2.7407933248359533E-3</v>
      </c>
      <c r="D137" s="12">
        <f>'Final Data'!I137</f>
        <v>2.8778778778779275E-3</v>
      </c>
      <c r="E137"/>
    </row>
    <row r="138" spans="1:5" x14ac:dyDescent="0.2">
      <c r="A138" s="2">
        <v>41274</v>
      </c>
      <c r="B138" s="11">
        <f>'Final Data'!G138-'Final Data'!D138</f>
        <v>3.2435324698211697E-3</v>
      </c>
      <c r="C138" s="11">
        <f>'Final Data'!H138-'Final Data'!D138</f>
        <v>7.0444828884809116E-3</v>
      </c>
      <c r="D138" s="12">
        <f>'Final Data'!I138</f>
        <v>-4.7411104179664338E-3</v>
      </c>
      <c r="E138"/>
    </row>
    <row r="139" spans="1:5" x14ac:dyDescent="0.2">
      <c r="A139" s="2">
        <v>41305</v>
      </c>
      <c r="B139" s="11">
        <f>'Final Data'!G139-'Final Data'!D139</f>
        <v>4.1421084372621333E-2</v>
      </c>
      <c r="C139" s="11">
        <f>'Final Data'!H139-'Final Data'!D139</f>
        <v>5.0380353386621689E-2</v>
      </c>
      <c r="D139" s="12">
        <f>'Final Data'!I139</f>
        <v>-7.0201830262003545E-3</v>
      </c>
      <c r="E139"/>
    </row>
    <row r="140" spans="1:5" x14ac:dyDescent="0.2">
      <c r="A140" s="2">
        <v>41333</v>
      </c>
      <c r="B140" s="11">
        <f>'Final Data'!G140-'Final Data'!D140</f>
        <v>3.4854805475909377E-2</v>
      </c>
      <c r="C140" s="11">
        <f>'Final Data'!H140-'Final Data'!D140</f>
        <v>1.1022368889482324E-2</v>
      </c>
      <c r="D140" s="12">
        <f>'Final Data'!I140</f>
        <v>3.4591591970710885E-2</v>
      </c>
      <c r="E140"/>
    </row>
    <row r="141" spans="1:5" x14ac:dyDescent="0.2">
      <c r="A141" s="2">
        <v>41364</v>
      </c>
      <c r="B141" s="11">
        <f>'Final Data'!G141-'Final Data'!D141</f>
        <v>5.9777618426770991E-2</v>
      </c>
      <c r="C141" s="11">
        <f>'Final Data'!H141-'Final Data'!D141</f>
        <v>3.5947388921898721E-2</v>
      </c>
      <c r="D141" s="12">
        <f>'Final Data'!I141</f>
        <v>1.549725442342887E-2</v>
      </c>
      <c r="E141"/>
    </row>
    <row r="142" spans="1:5" x14ac:dyDescent="0.2">
      <c r="A142" s="2">
        <v>41394</v>
      </c>
      <c r="B142" s="11">
        <f>'Final Data'!G142-'Final Data'!D142</f>
        <v>3.5497066738428458E-2</v>
      </c>
      <c r="C142" s="11">
        <f>'Final Data'!H142-'Final Data'!D142</f>
        <v>1.8073394086158465E-2</v>
      </c>
      <c r="D142" s="12">
        <f>'Final Data'!I142</f>
        <v>-1.7664023071377058E-2</v>
      </c>
      <c r="E142"/>
    </row>
    <row r="143" spans="1:5" x14ac:dyDescent="0.2">
      <c r="A143" s="2">
        <v>41425</v>
      </c>
      <c r="B143" s="11">
        <f>'Final Data'!G143-'Final Data'!D143</f>
        <v>2.0468020493020423E-2</v>
      </c>
      <c r="C143" s="11">
        <f>'Final Data'!H143-'Final Data'!D143</f>
        <v>2.0693577866800286E-2</v>
      </c>
      <c r="D143" s="12">
        <f>'Final Data'!I143</f>
        <v>1.847094801223248E-2</v>
      </c>
      <c r="E143"/>
    </row>
    <row r="144" spans="1:5" x14ac:dyDescent="0.2">
      <c r="A144" s="2">
        <v>41455</v>
      </c>
      <c r="B144" s="11">
        <f>'Final Data'!G144-'Final Data'!D144</f>
        <v>2.0205859526581382E-3</v>
      </c>
      <c r="C144" s="11">
        <f>'Final Data'!H144-'Final Data'!D144</f>
        <v>-1.4979566035036133E-2</v>
      </c>
      <c r="D144" s="12">
        <f>'Final Data'!I144</f>
        <v>-1.4412683161182385E-3</v>
      </c>
      <c r="E144"/>
    </row>
    <row r="145" spans="1:5" x14ac:dyDescent="0.2">
      <c r="A145" s="2">
        <v>41486</v>
      </c>
      <c r="B145" s="11">
        <f>'Final Data'!G145-'Final Data'!D145</f>
        <v>4.6910811792041818E-2</v>
      </c>
      <c r="C145" s="11">
        <f>'Final Data'!H145-'Final Data'!D145</f>
        <v>4.9405367926290293E-2</v>
      </c>
      <c r="D145" s="12">
        <f>'Final Data'!I145</f>
        <v>-2.0327159008900621E-2</v>
      </c>
      <c r="E145"/>
    </row>
    <row r="146" spans="1:5" x14ac:dyDescent="0.2">
      <c r="A146" s="2">
        <v>41517</v>
      </c>
      <c r="B146" s="11">
        <f>'Final Data'!G146-'Final Data'!D146</f>
        <v>-1.2944592095285683E-2</v>
      </c>
      <c r="C146" s="11">
        <f>'Final Data'!H146-'Final Data'!D146</f>
        <v>-3.1279643471554867E-2</v>
      </c>
      <c r="D146" s="12">
        <f>'Final Data'!I146</f>
        <v>7.857581338244329E-3</v>
      </c>
      <c r="E146"/>
    </row>
    <row r="147" spans="1:5" x14ac:dyDescent="0.2">
      <c r="A147" s="2">
        <v>41547</v>
      </c>
      <c r="B147" s="11">
        <f>'Final Data'!G147-'Final Data'!D147</f>
        <v>1.7119463181562659E-2</v>
      </c>
      <c r="C147" s="11">
        <f>'Final Data'!H147-'Final Data'!D147</f>
        <v>2.9674938763012859E-2</v>
      </c>
      <c r="D147" s="12">
        <f>'Final Data'!I147</f>
        <v>-2.2779875746132348E-2</v>
      </c>
      <c r="E147"/>
    </row>
    <row r="148" spans="1:5" x14ac:dyDescent="0.2">
      <c r="A148" s="2">
        <v>41578</v>
      </c>
      <c r="B148" s="11">
        <f>'Final Data'!G148-'Final Data'!D148</f>
        <v>3.651824399005265E-2</v>
      </c>
      <c r="C148" s="11">
        <f>'Final Data'!H148-'Final Data'!D148</f>
        <v>4.4578033006244425E-2</v>
      </c>
      <c r="D148" s="12">
        <f>'Final Data'!I148</f>
        <v>-3.7397157816007403E-4</v>
      </c>
      <c r="E148"/>
    </row>
    <row r="149" spans="1:5" x14ac:dyDescent="0.2">
      <c r="A149" s="2">
        <v>41608</v>
      </c>
      <c r="B149" s="11">
        <f>'Final Data'!G149-'Final Data'!D149</f>
        <v>6.653614073086736E-2</v>
      </c>
      <c r="C149" s="11">
        <f>'Final Data'!H149-'Final Data'!D149</f>
        <v>2.8025512382578967E-2</v>
      </c>
      <c r="D149" s="12">
        <f>'Final Data'!I149</f>
        <v>6.1104875919691867E-3</v>
      </c>
      <c r="E149"/>
    </row>
    <row r="150" spans="1:5" x14ac:dyDescent="0.2">
      <c r="A150" s="2">
        <v>41639</v>
      </c>
      <c r="B150" s="11">
        <f>'Final Data'!G150-'Final Data'!D150</f>
        <v>9.7267329001084375E-3</v>
      </c>
      <c r="C150" s="11">
        <f>'Final Data'!H150-'Final Data'!D150</f>
        <v>2.3582319009118842E-2</v>
      </c>
      <c r="D150" s="12">
        <f>'Final Data'!I150</f>
        <v>-8.0565195835399801E-3</v>
      </c>
      <c r="E150"/>
    </row>
    <row r="151" spans="1:5" x14ac:dyDescent="0.2">
      <c r="A151" s="2">
        <v>41670</v>
      </c>
      <c r="B151" s="11">
        <f>'Final Data'!G151-'Final Data'!D151</f>
        <v>-5.1993464956249603E-2</v>
      </c>
      <c r="C151" s="11">
        <f>'Final Data'!H151-'Final Data'!D151</f>
        <v>-3.5623355334343312E-2</v>
      </c>
      <c r="D151" s="12">
        <f>'Final Data'!I151</f>
        <v>1.5994002249156581E-2</v>
      </c>
      <c r="E151"/>
    </row>
    <row r="152" spans="1:5" x14ac:dyDescent="0.2">
      <c r="A152" s="2">
        <v>41698</v>
      </c>
      <c r="B152" s="11">
        <f>'Final Data'!G152-'Final Data'!D152</f>
        <v>1.5371366405570151E-2</v>
      </c>
      <c r="C152" s="11">
        <f>'Final Data'!H152-'Final Data'!D152</f>
        <v>4.3077852574890683E-2</v>
      </c>
      <c r="D152" s="12">
        <f>'Final Data'!I152</f>
        <v>-1.9923748616406403E-2</v>
      </c>
      <c r="E152"/>
    </row>
    <row r="153" spans="1:5" x14ac:dyDescent="0.2">
      <c r="A153" s="2">
        <v>41729</v>
      </c>
      <c r="B153" s="11">
        <f>'Final Data'!G153-'Final Data'!D153</f>
        <v>-6.710523270763641E-3</v>
      </c>
      <c r="C153" s="11">
        <f>'Final Data'!H153-'Final Data'!D153</f>
        <v>6.9071573583585856E-3</v>
      </c>
      <c r="D153" s="12">
        <f>'Final Data'!I153</f>
        <v>5.144936629439034E-3</v>
      </c>
      <c r="E153"/>
    </row>
    <row r="154" spans="1:5" x14ac:dyDescent="0.2">
      <c r="A154" s="2">
        <v>41759</v>
      </c>
      <c r="B154" s="11">
        <f>'Final Data'!G154-'Final Data'!D154</f>
        <v>9.0436491500559407E-3</v>
      </c>
      <c r="C154" s="11">
        <f>'Final Data'!H154-'Final Data'!D154</f>
        <v>6.1841301971508706E-3</v>
      </c>
      <c r="D154" s="12">
        <f>'Final Data'!I154</f>
        <v>-7.8651685393257859E-3</v>
      </c>
      <c r="E154"/>
    </row>
    <row r="155" spans="1:5" x14ac:dyDescent="0.2">
      <c r="A155" s="2">
        <v>41790</v>
      </c>
      <c r="B155" s="11">
        <f>'Final Data'!G155-'Final Data'!D155</f>
        <v>2.2020929536514623E-2</v>
      </c>
      <c r="C155" s="11">
        <f>'Final Data'!H155-'Final Data'!D155</f>
        <v>2.0988615453347077E-2</v>
      </c>
      <c r="D155" s="12">
        <f>'Final Data'!I155</f>
        <v>1.1325028312570854E-2</v>
      </c>
      <c r="E155"/>
    </row>
    <row r="156" spans="1:5" x14ac:dyDescent="0.2">
      <c r="A156" s="2">
        <v>41820</v>
      </c>
      <c r="B156" s="11">
        <f>'Final Data'!G156-'Final Data'!D156</f>
        <v>-5.0367469879518782E-3</v>
      </c>
      <c r="C156" s="11">
        <f>'Final Data'!H156-'Final Data'!D156</f>
        <v>1.9041646781765197E-2</v>
      </c>
      <c r="D156" s="12">
        <f>'Final Data'!I156</f>
        <v>-7.3410476545975288E-3</v>
      </c>
      <c r="E156"/>
    </row>
    <row r="157" spans="1:5" x14ac:dyDescent="0.2">
      <c r="A157" s="2">
        <v>41851</v>
      </c>
      <c r="B157" s="11">
        <f>'Final Data'!G157-'Final Data'!D157</f>
        <v>2.5597115708039034E-2</v>
      </c>
      <c r="C157" s="11">
        <f>'Final Data'!H157-'Final Data'!D157</f>
        <v>-1.5088196410625256E-2</v>
      </c>
      <c r="D157" s="12">
        <f>'Final Data'!I157</f>
        <v>2.1057909250438614E-2</v>
      </c>
      <c r="E157"/>
    </row>
    <row r="158" spans="1:5" x14ac:dyDescent="0.2">
      <c r="A158" s="2">
        <v>41882</v>
      </c>
      <c r="B158" s="11">
        <f>'Final Data'!G158-'Final Data'!D158</f>
        <v>2.6671317591112222E-2</v>
      </c>
      <c r="C158" s="11">
        <f>'Final Data'!H158-'Final Data'!D158</f>
        <v>3.7638655061023624E-2</v>
      </c>
      <c r="D158" s="12">
        <f>'Final Data'!I158</f>
        <v>1.5835993125460426E-2</v>
      </c>
      <c r="E158"/>
    </row>
    <row r="159" spans="1:5" x14ac:dyDescent="0.2">
      <c r="A159" s="2">
        <v>41912</v>
      </c>
      <c r="B159" s="11">
        <f>'Final Data'!G159-'Final Data'!D159</f>
        <v>-4.8082335090241851E-3</v>
      </c>
      <c r="C159" s="11">
        <f>'Final Data'!H159-'Final Data'!D159</f>
        <v>-1.5530525814003368E-2</v>
      </c>
      <c r="D159" s="12">
        <f>'Final Data'!I159</f>
        <v>3.8549848942598157E-2</v>
      </c>
      <c r="E159"/>
    </row>
    <row r="160" spans="1:5" x14ac:dyDescent="0.2">
      <c r="A160" s="2">
        <v>41943</v>
      </c>
      <c r="B160" s="11">
        <f>'Final Data'!G160-'Final Data'!D160</f>
        <v>-1.565590194190335E-2</v>
      </c>
      <c r="C160" s="11">
        <f>'Final Data'!H160-'Final Data'!D160</f>
        <v>2.3193122841975569E-2</v>
      </c>
      <c r="D160" s="12">
        <f>'Final Data'!I160</f>
        <v>1.1403304631138049E-2</v>
      </c>
      <c r="E160"/>
    </row>
    <row r="161" spans="1:5" x14ac:dyDescent="0.2">
      <c r="A161" s="2">
        <v>41973</v>
      </c>
      <c r="B161" s="11">
        <f>'Final Data'!G161-'Final Data'!D161</f>
        <v>4.7166471019809232E-2</v>
      </c>
      <c r="C161" s="11">
        <f>'Final Data'!H161-'Final Data'!D161</f>
        <v>2.4500251067449599E-2</v>
      </c>
      <c r="D161" s="12">
        <f>'Final Data'!I161</f>
        <v>1.6566958122411386E-2</v>
      </c>
      <c r="E161"/>
    </row>
    <row r="162" spans="1:5" x14ac:dyDescent="0.2">
      <c r="A162" s="2">
        <v>42004</v>
      </c>
      <c r="B162" s="11">
        <f>'Final Data'!G162-'Final Data'!D162</f>
        <v>-2.653130546473606E-2</v>
      </c>
      <c r="C162" s="11">
        <f>'Final Data'!H162-'Final Data'!D162</f>
        <v>-4.2135120625277399E-3</v>
      </c>
      <c r="D162" s="12">
        <f>'Final Data'!I162</f>
        <v>2.161611588954274E-2</v>
      </c>
      <c r="E162"/>
    </row>
    <row r="163" spans="1:5" x14ac:dyDescent="0.2">
      <c r="A163" s="2">
        <v>42035</v>
      </c>
      <c r="B163" s="11">
        <f>'Final Data'!G163-'Final Data'!D163</f>
        <v>-1.0083900083963097E-2</v>
      </c>
      <c r="C163" s="11">
        <f>'Final Data'!H163-'Final Data'!D163</f>
        <v>-3.104918038758564E-2</v>
      </c>
      <c r="D163" s="12">
        <f>'Final Data'!I163</f>
        <v>5.0182784978398155E-2</v>
      </c>
      <c r="E163"/>
    </row>
    <row r="164" spans="1:5" x14ac:dyDescent="0.2">
      <c r="A164" s="2">
        <v>42063</v>
      </c>
      <c r="B164" s="11">
        <f>'Final Data'!G164-'Final Data'!D164</f>
        <v>7.6440379256028146E-2</v>
      </c>
      <c r="C164" s="11">
        <f>'Final Data'!H164-'Final Data'!D164</f>
        <v>5.487583906017908E-2</v>
      </c>
      <c r="D164" s="12">
        <f>'Final Data'!I164</f>
        <v>5.4852320675105063E-3</v>
      </c>
      <c r="E164"/>
    </row>
    <row r="165" spans="1:5" x14ac:dyDescent="0.2">
      <c r="A165" s="2">
        <v>42094</v>
      </c>
      <c r="B165" s="11">
        <f>'Final Data'!G165-'Final Data'!D165</f>
        <v>-3.6061477562659497E-2</v>
      </c>
      <c r="C165" s="11">
        <f>'Final Data'!H165-'Final Data'!D165</f>
        <v>-1.743772273699222E-2</v>
      </c>
      <c r="D165" s="12">
        <f>'Final Data'!I165</f>
        <v>3.1892572387746607E-2</v>
      </c>
      <c r="E165"/>
    </row>
    <row r="166" spans="1:5" x14ac:dyDescent="0.2">
      <c r="A166" s="2">
        <v>42124</v>
      </c>
      <c r="B166" s="11">
        <f>'Final Data'!G166-'Final Data'!D166</f>
        <v>-1.2844465203176019E-2</v>
      </c>
      <c r="C166" s="11">
        <f>'Final Data'!H166-'Final Data'!D166</f>
        <v>8.5207627098154871E-3</v>
      </c>
      <c r="D166" s="12">
        <f>'Final Data'!I166</f>
        <v>-3.8226921512810139E-2</v>
      </c>
      <c r="E166"/>
    </row>
    <row r="167" spans="1:5" x14ac:dyDescent="0.2">
      <c r="A167" s="2">
        <v>42155</v>
      </c>
      <c r="B167" s="11">
        <f>'Final Data'!G167-'Final Data'!D167</f>
        <v>1.1465525195173867E-2</v>
      </c>
      <c r="C167" s="11">
        <f>'Final Data'!H167-'Final Data'!D167</f>
        <v>1.0483105211674674E-2</v>
      </c>
      <c r="D167" s="12">
        <f>'Final Data'!I167</f>
        <v>2.4418604651162815E-2</v>
      </c>
      <c r="E167"/>
    </row>
    <row r="168" spans="1:5" x14ac:dyDescent="0.2">
      <c r="A168" s="2">
        <v>42185</v>
      </c>
      <c r="B168" s="11">
        <f>'Final Data'!G168-'Final Data'!D168</f>
        <v>-6.176383074104394E-2</v>
      </c>
      <c r="C168" s="11">
        <f>'Final Data'!H168-'Final Data'!D168</f>
        <v>-2.10284395231383E-2</v>
      </c>
      <c r="D168" s="12">
        <f>'Final Data'!I168</f>
        <v>-1.4755959137343852E-2</v>
      </c>
      <c r="E168"/>
    </row>
    <row r="169" spans="1:5" x14ac:dyDescent="0.2">
      <c r="A169" s="2">
        <v>42216</v>
      </c>
      <c r="B169" s="11">
        <f>'Final Data'!G169-'Final Data'!D169</f>
        <v>-5.7668494744277854E-3</v>
      </c>
      <c r="C169" s="11">
        <f>'Final Data'!H169-'Final Data'!D169</f>
        <v>1.9708706596675254E-2</v>
      </c>
      <c r="D169" s="12">
        <f>'Final Data'!I169</f>
        <v>1.9480519480519473E-2</v>
      </c>
      <c r="E169"/>
    </row>
    <row r="170" spans="1:5" x14ac:dyDescent="0.2">
      <c r="A170" s="2">
        <v>42247</v>
      </c>
      <c r="B170" s="11">
        <f>'Final Data'!G170-'Final Data'!D170</f>
        <v>-3.0713300739626463E-2</v>
      </c>
      <c r="C170" s="11">
        <f>'Final Data'!H170-'Final Data'!D170</f>
        <v>-6.2580804623925804E-2</v>
      </c>
      <c r="D170" s="12">
        <f>'Final Data'!I170</f>
        <v>-1.561536881035556E-2</v>
      </c>
      <c r="E170"/>
    </row>
    <row r="171" spans="1:5" x14ac:dyDescent="0.2">
      <c r="A171" s="2">
        <v>42277</v>
      </c>
      <c r="B171" s="11">
        <f>'Final Data'!G171-'Final Data'!D171</f>
        <v>3.9317123642007325E-2</v>
      </c>
      <c r="C171" s="11">
        <f>'Final Data'!H171-'Final Data'!D171</f>
        <v>-2.6442819620927142E-2</v>
      </c>
      <c r="D171" s="12">
        <f>'Final Data'!I171</f>
        <v>5.5312043414736086E-3</v>
      </c>
      <c r="E171"/>
    </row>
    <row r="172" spans="1:5" x14ac:dyDescent="0.2">
      <c r="A172" s="2">
        <v>42308</v>
      </c>
      <c r="B172" s="11">
        <f>'Final Data'!G172-'Final Data'!D172</f>
        <v>8.2495399867263924E-2</v>
      </c>
      <c r="C172" s="11">
        <f>'Final Data'!H172-'Final Data'!D172</f>
        <v>8.2974745056066918E-2</v>
      </c>
      <c r="D172" s="12">
        <f>'Final Data'!I172</f>
        <v>6.2272963155164352E-3</v>
      </c>
      <c r="E172"/>
    </row>
    <row r="173" spans="1:5" x14ac:dyDescent="0.2">
      <c r="A173" s="2">
        <v>42338</v>
      </c>
      <c r="B173" s="11">
        <f>'Final Data'!G173-'Final Data'!D173</f>
        <v>-8.483435835536535E-3</v>
      </c>
      <c r="C173" s="11">
        <f>'Final Data'!H173-'Final Data'!D173</f>
        <v>4.1329639889183553E-4</v>
      </c>
      <c r="D173" s="12">
        <f>'Final Data'!I173</f>
        <v>3.3212996389891683E-2</v>
      </c>
      <c r="E173"/>
    </row>
    <row r="174" spans="1:5" x14ac:dyDescent="0.2">
      <c r="A174" s="2">
        <v>42369</v>
      </c>
      <c r="B174" s="11">
        <f>'Final Data'!G174-'Final Data'!D174</f>
        <v>-1.7969669217095675E-2</v>
      </c>
      <c r="C174" s="11">
        <f>'Final Data'!H174-'Final Data'!D174</f>
        <v>-1.7646865041025472E-2</v>
      </c>
      <c r="D174" s="12">
        <f>'Final Data'!I174</f>
        <v>-1.5373864430468266E-2</v>
      </c>
      <c r="E174"/>
    </row>
    <row r="175" spans="1:5" x14ac:dyDescent="0.2">
      <c r="A175" s="2">
        <v>42400</v>
      </c>
      <c r="B175" s="11">
        <f>'Final Data'!G175-'Final Data'!D175</f>
        <v>-1.9423182247403158E-2</v>
      </c>
      <c r="C175" s="11">
        <f>'Final Data'!H175-'Final Data'!D175</f>
        <v>-5.0918677815069611E-2</v>
      </c>
      <c r="D175" s="12">
        <f>'Final Data'!I175</f>
        <v>9.9361249112846391E-3</v>
      </c>
      <c r="E175"/>
    </row>
    <row r="176" spans="1:5" x14ac:dyDescent="0.2">
      <c r="A176" s="2">
        <v>42429</v>
      </c>
      <c r="B176" s="11">
        <f>'Final Data'!G176-'Final Data'!D176</f>
        <v>1.9064561519637271E-2</v>
      </c>
      <c r="C176" s="11">
        <f>'Final Data'!H176-'Final Data'!D176</f>
        <v>-4.3200219216866596E-3</v>
      </c>
      <c r="D176" s="12">
        <f>'Final Data'!I176</f>
        <v>-1.4054813773717555E-2</v>
      </c>
      <c r="E176"/>
    </row>
    <row r="177" spans="1:5" x14ac:dyDescent="0.2">
      <c r="A177" s="2">
        <v>42460</v>
      </c>
      <c r="B177" s="11">
        <f>'Final Data'!G177-'Final Data'!D177</f>
        <v>5.9125002951942333E-2</v>
      </c>
      <c r="C177" s="11">
        <f>'Final Data'!H177-'Final Data'!D177</f>
        <v>6.5841108718941208E-2</v>
      </c>
      <c r="D177" s="12">
        <f>'Final Data'!I177</f>
        <v>-3.6859790245392432E-2</v>
      </c>
      <c r="E177"/>
    </row>
    <row r="178" spans="1:5" x14ac:dyDescent="0.2">
      <c r="A178" s="2">
        <v>42490</v>
      </c>
      <c r="B178" s="11">
        <f>'Final Data'!G178-'Final Data'!D178</f>
        <v>-1.4290060565525909E-2</v>
      </c>
      <c r="C178" s="11">
        <f>'Final Data'!H178-'Final Data'!D178</f>
        <v>2.566036490042627E-3</v>
      </c>
      <c r="D178" s="12">
        <f>'Final Data'!I178</f>
        <v>-1.5963632519293849E-2</v>
      </c>
      <c r="E178"/>
    </row>
    <row r="179" spans="1:5" x14ac:dyDescent="0.2">
      <c r="A179" s="2">
        <v>42521</v>
      </c>
      <c r="B179" s="11">
        <f>'Final Data'!G179-'Final Data'!D179</f>
        <v>-7.0092605156037357E-3</v>
      </c>
      <c r="C179" s="11">
        <f>'Final Data'!H179-'Final Data'!D179</f>
        <v>1.5104492083474485E-2</v>
      </c>
      <c r="D179" s="12">
        <f>'Final Data'!I179</f>
        <v>3.0189084658358425E-2</v>
      </c>
      <c r="E179"/>
    </row>
    <row r="180" spans="1:5" x14ac:dyDescent="0.2">
      <c r="A180" s="2">
        <v>42551</v>
      </c>
      <c r="B180" s="11">
        <f>'Final Data'!G180-'Final Data'!D180</f>
        <v>4.5712204007285984E-2</v>
      </c>
      <c r="C180" s="11">
        <f>'Final Data'!H180-'Final Data'!D180</f>
        <v>7.3940688743073671E-4</v>
      </c>
      <c r="D180" s="12">
        <f>'Final Data'!I180</f>
        <v>2.6071540306601315E-3</v>
      </c>
      <c r="E180"/>
    </row>
    <row r="181" spans="1:5" x14ac:dyDescent="0.2">
      <c r="A181" s="2">
        <v>42582</v>
      </c>
      <c r="B181" s="11">
        <f>'Final Data'!G181-'Final Data'!D181</f>
        <v>-3.1942376002322144E-2</v>
      </c>
      <c r="C181" s="11">
        <f>'Final Data'!H181-'Final Data'!D181</f>
        <v>3.5451473895352609E-2</v>
      </c>
      <c r="D181" s="12">
        <f>'Final Data'!I181</f>
        <v>-6.3449136675681238E-3</v>
      </c>
      <c r="E181"/>
    </row>
    <row r="182" spans="1:5" x14ac:dyDescent="0.2">
      <c r="A182" s="2">
        <v>42613</v>
      </c>
      <c r="B182" s="11">
        <f>'Final Data'!G182-'Final Data'!D182</f>
        <v>9.4516863406408028E-3</v>
      </c>
      <c r="C182" s="11">
        <f>'Final Data'!H182-'Final Data'!D182</f>
        <v>-1.4358422279475329E-3</v>
      </c>
      <c r="D182" s="12">
        <f>'Final Data'!I182</f>
        <v>5.1292787605987109E-3</v>
      </c>
      <c r="E182"/>
    </row>
    <row r="183" spans="1:5" x14ac:dyDescent="0.2">
      <c r="A183" s="2">
        <v>42643</v>
      </c>
      <c r="B183" s="11">
        <f>'Final Data'!G183-'Final Data'!D183</f>
        <v>-1.8093400883346315E-2</v>
      </c>
      <c r="C183" s="11">
        <f>'Final Data'!H183-'Final Data'!D183</f>
        <v>-1.4011492664500963E-3</v>
      </c>
      <c r="D183" s="12">
        <f>'Final Data'!I183</f>
        <v>-5.832118308685714E-3</v>
      </c>
      <c r="E183"/>
    </row>
    <row r="184" spans="1:5" x14ac:dyDescent="0.2">
      <c r="A184" s="2">
        <v>42674</v>
      </c>
      <c r="B184" s="11">
        <f>'Final Data'!G184-'Final Data'!D184</f>
        <v>-1.3091836734693885E-2</v>
      </c>
      <c r="C184" s="11">
        <f>'Final Data'!H184-'Final Data'!D184</f>
        <v>-1.9592291704138887E-2</v>
      </c>
      <c r="D184" s="12">
        <f>'Final Data'!I184</f>
        <v>3.1217263775403355E-2</v>
      </c>
      <c r="E184"/>
    </row>
    <row r="185" spans="1:5" x14ac:dyDescent="0.2">
      <c r="A185" s="2">
        <v>42704</v>
      </c>
      <c r="B185" s="11">
        <f>'Final Data'!G185-'Final Data'!D185</f>
        <v>0.10260086147484486</v>
      </c>
      <c r="C185" s="11">
        <f>'Final Data'!H185-'Final Data'!D185</f>
        <v>3.3857780103316568E-2</v>
      </c>
      <c r="D185" s="12">
        <f>'Final Data'!I185</f>
        <v>3.1084924827305998E-2</v>
      </c>
      <c r="E185"/>
    </row>
    <row r="186" spans="1:5" x14ac:dyDescent="0.2">
      <c r="A186" s="2">
        <v>42735</v>
      </c>
      <c r="B186" s="11">
        <f>'Final Data'!G186-'Final Data'!D186</f>
        <v>7.0035332916753512E-2</v>
      </c>
      <c r="C186" s="11">
        <f>'Final Data'!H186-'Final Data'!D186</f>
        <v>1.7834087377566341E-2</v>
      </c>
      <c r="D186" s="12">
        <f>'Final Data'!I186</f>
        <v>6.9950738916255539E-3</v>
      </c>
      <c r="E186"/>
    </row>
    <row r="187" spans="1:5" x14ac:dyDescent="0.2">
      <c r="A187" s="2">
        <v>42766</v>
      </c>
      <c r="B187" s="11">
        <f>'Final Data'!G187-'Final Data'!D187</f>
        <v>-1.7832506324187643E-2</v>
      </c>
      <c r="C187" s="11">
        <f>'Final Data'!H187-'Final Data'!D187</f>
        <v>1.7467674708069231E-2</v>
      </c>
      <c r="D187" s="12">
        <f>'Final Data'!I187</f>
        <v>-2.6416201937188032E-2</v>
      </c>
      <c r="E187"/>
    </row>
    <row r="188" spans="1:5" x14ac:dyDescent="0.2">
      <c r="A188" s="2">
        <v>42794</v>
      </c>
      <c r="B188" s="11">
        <f>'Final Data'!G188-'Final Data'!D188</f>
        <v>1.5806878568835295E-2</v>
      </c>
      <c r="C188" s="11">
        <f>'Final Data'!H188-'Final Data'!D188</f>
        <v>3.686492720807534E-2</v>
      </c>
      <c r="D188" s="12">
        <f>'Final Data'!I188</f>
        <v>1.6179278464475925E-2</v>
      </c>
      <c r="E188"/>
    </row>
    <row r="189" spans="1:5" x14ac:dyDescent="0.2">
      <c r="A189" s="2">
        <v>42825</v>
      </c>
      <c r="B189" s="11">
        <f>'Final Data'!G189-'Final Data'!D189</f>
        <v>-2.8579451698824529E-3</v>
      </c>
      <c r="C189" s="11">
        <f>'Final Data'!H189-'Final Data'!D189</f>
        <v>-1.0058968370818199E-3</v>
      </c>
      <c r="D189" s="12">
        <f>'Final Data'!I189</f>
        <v>-7.6147151898735181E-3</v>
      </c>
      <c r="E189"/>
    </row>
    <row r="190" spans="1:5" x14ac:dyDescent="0.2">
      <c r="A190" s="2">
        <v>42855</v>
      </c>
      <c r="B190" s="11">
        <f>'Final Data'!G190-'Final Data'!D190</f>
        <v>1.9943148744994574E-2</v>
      </c>
      <c r="C190" s="11">
        <f>'Final Data'!H190-'Final Data'!D190</f>
        <v>8.5245502358863318E-3</v>
      </c>
      <c r="D190" s="12">
        <f>'Final Data'!I190</f>
        <v>-1.2954658694568981E-2</v>
      </c>
      <c r="E190"/>
    </row>
    <row r="191" spans="1:5" x14ac:dyDescent="0.2">
      <c r="A191" s="2">
        <v>42886</v>
      </c>
      <c r="B191" s="11">
        <f>'Final Data'!G191-'Final Data'!D191</f>
        <v>-2.1005689539668776E-2</v>
      </c>
      <c r="C191" s="11">
        <f>'Final Data'!H191-'Final Data'!D191</f>
        <v>1.0859543382825979E-2</v>
      </c>
      <c r="D191" s="12">
        <f>'Final Data'!I191</f>
        <v>-2.1504290762241248E-2</v>
      </c>
      <c r="E191"/>
    </row>
    <row r="192" spans="1:5" x14ac:dyDescent="0.2">
      <c r="A192" s="2">
        <v>42916</v>
      </c>
      <c r="B192" s="11">
        <f>'Final Data'!G192-'Final Data'!D192</f>
        <v>1.7916381752455996E-4</v>
      </c>
      <c r="C192" s="11">
        <f>'Final Data'!H192-'Final Data'!D192</f>
        <v>4.1138319927024099E-3</v>
      </c>
      <c r="D192" s="12">
        <f>'Final Data'!I192</f>
        <v>-1.330994634750316E-2</v>
      </c>
      <c r="E192"/>
    </row>
    <row r="193" spans="1:5" x14ac:dyDescent="0.2">
      <c r="A193" s="2">
        <v>42947</v>
      </c>
      <c r="B193" s="11">
        <f>'Final Data'!G193-'Final Data'!D193</f>
        <v>0.15971712538226304</v>
      </c>
      <c r="C193" s="11">
        <f>'Final Data'!H193-'Final Data'!D193</f>
        <v>1.8515435550182181E-2</v>
      </c>
      <c r="D193" s="12">
        <f>'Final Data'!I193</f>
        <v>-2.8965805709505344E-2</v>
      </c>
      <c r="E193"/>
    </row>
    <row r="194" spans="1:5" x14ac:dyDescent="0.2">
      <c r="A194" s="2">
        <v>42978</v>
      </c>
      <c r="B194" s="11">
        <f>'Final Data'!G194-'Final Data'!D194</f>
        <v>-0.10540860384604601</v>
      </c>
      <c r="C194" s="11">
        <f>'Final Data'!H194-'Final Data'!D194</f>
        <v>-2.4517433779976431E-4</v>
      </c>
      <c r="D194" s="12">
        <f>'Final Data'!I194</f>
        <v>-2.0460908895110676E-3</v>
      </c>
      <c r="E194"/>
    </row>
    <row r="195" spans="1:5" x14ac:dyDescent="0.2">
      <c r="A195" s="2">
        <v>43008</v>
      </c>
      <c r="B195" s="11">
        <f>'Final Data'!G195-'Final Data'!D195</f>
        <v>2.5968103691180563E-2</v>
      </c>
      <c r="C195" s="11">
        <f>'Final Data'!H195-'Final Data'!D195</f>
        <v>1.8502894827342076E-2</v>
      </c>
      <c r="D195" s="12">
        <f>'Final Data'!I195</f>
        <v>4.4243012841264336E-3</v>
      </c>
      <c r="E195"/>
    </row>
    <row r="196" spans="1:5" x14ac:dyDescent="0.2">
      <c r="A196" s="2">
        <v>43039</v>
      </c>
      <c r="B196" s="11">
        <f>'Final Data'!G196-'Final Data'!D196</f>
        <v>6.2658351628247455E-2</v>
      </c>
      <c r="C196" s="11">
        <f>'Final Data'!H196-'Final Data'!D196</f>
        <v>2.136317477454595E-2</v>
      </c>
      <c r="D196" s="12">
        <f>'Final Data'!I196</f>
        <v>1.5792866351525558E-2</v>
      </c>
      <c r="E196"/>
    </row>
    <row r="197" spans="1:5" x14ac:dyDescent="0.2">
      <c r="A197" s="2">
        <v>43069</v>
      </c>
      <c r="B197" s="11">
        <f>'Final Data'!G197-'Final Data'!D197</f>
        <v>-1.643253913641847E-2</v>
      </c>
      <c r="C197" s="11">
        <f>'Final Data'!H197-'Final Data'!D197</f>
        <v>2.7132601368405406E-2</v>
      </c>
      <c r="D197" s="12">
        <f>'Final Data'!I197</f>
        <v>-1.5864621893178214E-2</v>
      </c>
      <c r="E197"/>
    </row>
    <row r="198" spans="1:5" x14ac:dyDescent="0.2">
      <c r="A198" s="2">
        <v>43100</v>
      </c>
      <c r="B198" s="11">
        <f>'Final Data'!G198-'Final Data'!D198</f>
        <v>2.2784460364610671E-2</v>
      </c>
      <c r="C198" s="11">
        <f>'Final Data'!H198-'Final Data'!D198</f>
        <v>8.7649531521868523E-3</v>
      </c>
      <c r="D198" s="12">
        <f>'Final Data'!I198</f>
        <v>-9.9946265448682715E-3</v>
      </c>
      <c r="E198"/>
    </row>
    <row r="199" spans="1:5" x14ac:dyDescent="0.2">
      <c r="A199" s="2">
        <v>43131</v>
      </c>
      <c r="B199" s="11">
        <f>'Final Data'!G199-'Final Data'!D199</f>
        <v>5.3761827658787703E-2</v>
      </c>
      <c r="C199" s="11">
        <f>'Final Data'!H199-'Final Data'!D199</f>
        <v>5.498705797903701E-2</v>
      </c>
      <c r="D199" s="12">
        <f>'Final Data'!I199</f>
        <v>-3.2457663916630582E-2</v>
      </c>
      <c r="E199"/>
    </row>
    <row r="200" spans="1:5" x14ac:dyDescent="0.2">
      <c r="A200" s="2">
        <v>43159</v>
      </c>
      <c r="B200" s="11">
        <f>'Final Data'!G200-'Final Data'!D200</f>
        <v>-6.8466694976947365E-2</v>
      </c>
      <c r="C200" s="11">
        <f>'Final Data'!H200-'Final Data'!D200</f>
        <v>-4.0197379604151845E-2</v>
      </c>
      <c r="D200" s="12">
        <f>'Final Data'!I200</f>
        <v>1.660495904858077E-2</v>
      </c>
      <c r="E200"/>
    </row>
    <row r="201" spans="1:5" x14ac:dyDescent="0.2">
      <c r="A201" s="2">
        <v>43190</v>
      </c>
      <c r="B201" s="11">
        <f>'Final Data'!G201-'Final Data'!D201</f>
        <v>-1.7313935137009965E-2</v>
      </c>
      <c r="C201" s="11">
        <f>'Final Data'!H201-'Final Data'!D201</f>
        <v>-2.8242847101697614E-2</v>
      </c>
      <c r="D201" s="12">
        <f>'Final Data'!I201</f>
        <v>-7.0632380531950182E-3</v>
      </c>
      <c r="E201"/>
    </row>
    <row r="202" spans="1:5" x14ac:dyDescent="0.2">
      <c r="A202" s="2">
        <v>43220</v>
      </c>
      <c r="B202" s="11">
        <f>'Final Data'!G202-'Final Data'!D202</f>
        <v>3.9160777229467696E-2</v>
      </c>
      <c r="C202" s="11">
        <f>'Final Data'!H202-'Final Data'!D202</f>
        <v>1.3438010011853261E-3</v>
      </c>
      <c r="D202" s="12">
        <f>'Final Data'!I202</f>
        <v>2.0784706013115533E-2</v>
      </c>
      <c r="E202"/>
    </row>
    <row r="203" spans="1:5" x14ac:dyDescent="0.2">
      <c r="A203" s="2">
        <v>43251</v>
      </c>
      <c r="B203" s="11">
        <f>'Final Data'!G203-'Final Data'!D203</f>
        <v>9.9651219512195216E-2</v>
      </c>
      <c r="C203" s="11">
        <f>'Final Data'!H203-'Final Data'!D203</f>
        <v>2.014168664992471E-2</v>
      </c>
      <c r="D203" s="12">
        <f>'Final Data'!I203</f>
        <v>2.3301393728223003E-2</v>
      </c>
      <c r="E203"/>
    </row>
    <row r="204" spans="1:5" x14ac:dyDescent="0.2">
      <c r="A204" s="2">
        <v>43281</v>
      </c>
      <c r="B204" s="11">
        <f>'Final Data'!G204-'Final Data'!D204</f>
        <v>3.0212432702660944E-2</v>
      </c>
      <c r="C204" s="11">
        <f>'Final Data'!H204-'Final Data'!D204</f>
        <v>3.3674002040461433E-3</v>
      </c>
      <c r="D204" s="12">
        <f>'Final Data'!I204</f>
        <v>7.0227708022983244E-3</v>
      </c>
      <c r="E204"/>
    </row>
    <row r="205" spans="1:5" x14ac:dyDescent="0.2">
      <c r="A205" s="2">
        <v>43312</v>
      </c>
      <c r="B205" s="11">
        <f>'Final Data'!G205-'Final Data'!D205</f>
        <v>4.7199965210478322E-3</v>
      </c>
      <c r="C205" s="11">
        <f>'Final Data'!H205-'Final Data'!D205</f>
        <v>3.4404919798751973E-2</v>
      </c>
      <c r="D205" s="12">
        <f>'Final Data'!I205</f>
        <v>-1.5849535080304912E-3</v>
      </c>
      <c r="E205"/>
    </row>
    <row r="206" spans="1:5" x14ac:dyDescent="0.2">
      <c r="A206" s="2">
        <v>43343</v>
      </c>
      <c r="B206" s="11">
        <f>'Final Data'!G206-'Final Data'!D206</f>
        <v>8.549256426401948E-2</v>
      </c>
      <c r="C206" s="11">
        <f>'Final Data'!H206-'Final Data'!D206</f>
        <v>2.8638218631603995E-2</v>
      </c>
      <c r="D206" s="12">
        <f>'Final Data'!I206</f>
        <v>6.8790348184993725E-3</v>
      </c>
      <c r="E206"/>
    </row>
    <row r="207" spans="1:5" x14ac:dyDescent="0.2">
      <c r="A207" s="2">
        <v>43373</v>
      </c>
      <c r="B207" s="11">
        <f>'Final Data'!G207-'Final Data'!D207</f>
        <v>2.4877285633162952E-2</v>
      </c>
      <c r="C207" s="11">
        <f>'Final Data'!H207-'Final Data'!D207</f>
        <v>2.5276342514728043E-3</v>
      </c>
      <c r="D207" s="12">
        <f>'Final Data'!I207</f>
        <v>-1.051082615094084E-4</v>
      </c>
      <c r="E207"/>
    </row>
    <row r="208" spans="1:5" x14ac:dyDescent="0.2">
      <c r="A208" s="2">
        <v>43404</v>
      </c>
      <c r="B208" s="11">
        <f>'Final Data'!G208-'Final Data'!D208</f>
        <v>-4.5507832204964717E-2</v>
      </c>
      <c r="C208" s="11">
        <f>'Final Data'!H208-'Final Data'!D208</f>
        <v>-7.123669231314797E-2</v>
      </c>
      <c r="D208" s="12">
        <f>'Final Data'!I208</f>
        <v>2.1023862083464732E-2</v>
      </c>
      <c r="E208"/>
    </row>
    <row r="209" spans="1:5" x14ac:dyDescent="0.2">
      <c r="A209" s="2">
        <v>43434</v>
      </c>
      <c r="B209" s="11">
        <f>'Final Data'!G209-'Final Data'!D209</f>
        <v>2.1256565796779391E-2</v>
      </c>
      <c r="C209" s="11">
        <f>'Final Data'!H209-'Final Data'!D209</f>
        <v>1.5934381799140144E-2</v>
      </c>
      <c r="D209" s="12">
        <f>'Final Data'!I209</f>
        <v>1.4413672397817418E-3</v>
      </c>
      <c r="E209"/>
    </row>
    <row r="210" spans="1:5" x14ac:dyDescent="0.2">
      <c r="A210" s="2">
        <v>43465</v>
      </c>
      <c r="B210" s="11">
        <f>'Final Data'!G210-'Final Data'!D210</f>
        <v>-0.11260177723511046</v>
      </c>
      <c r="C210" s="11">
        <f>'Final Data'!H210-'Final Data'!D210</f>
        <v>-9.3810289100550628E-2</v>
      </c>
      <c r="D210" s="12">
        <f>'Final Data'!I210</f>
        <v>-1.130872828210131E-2</v>
      </c>
      <c r="E210"/>
    </row>
    <row r="211" spans="1:5" x14ac:dyDescent="0.2">
      <c r="A211" s="2">
        <v>43496</v>
      </c>
      <c r="B211" s="11">
        <f>'Final Data'!G211-'Final Data'!D211</f>
        <v>6.448729916615821E-2</v>
      </c>
      <c r="C211" s="11">
        <f>'Final Data'!H211-'Final Data'!D211</f>
        <v>7.66677380643703E-2</v>
      </c>
      <c r="D211" s="12">
        <f>'Final Data'!I211</f>
        <v>-6.1349693251534099E-3</v>
      </c>
      <c r="E211"/>
    </row>
    <row r="212" spans="1:5" x14ac:dyDescent="0.2">
      <c r="A212" s="2">
        <v>43524</v>
      </c>
      <c r="B212" s="11">
        <f>'Final Data'!G212-'Final Data'!D212</f>
        <v>9.2288749046529353E-2</v>
      </c>
      <c r="C212" s="11">
        <f>'Final Data'!H212-'Final Data'!D212</f>
        <v>2.7695596809782633E-2</v>
      </c>
      <c r="D212" s="12">
        <f>'Final Data'!I212</f>
        <v>6.0682151077631127E-3</v>
      </c>
      <c r="E212"/>
    </row>
    <row r="213" spans="1:5" x14ac:dyDescent="0.2">
      <c r="A213" s="2">
        <v>43555</v>
      </c>
      <c r="B213" s="11">
        <f>'Final Data'!G213-'Final Data'!D213</f>
        <v>4.1822611579428924E-2</v>
      </c>
      <c r="C213" s="11">
        <f>'Final Data'!H213-'Final Data'!D213</f>
        <v>1.5899287751078409E-2</v>
      </c>
      <c r="D213" s="12">
        <f>'Final Data'!I213</f>
        <v>1.1647254575707202E-2</v>
      </c>
      <c r="E213"/>
    </row>
    <row r="214" spans="1:5" x14ac:dyDescent="0.2">
      <c r="A214" s="2">
        <v>43585</v>
      </c>
      <c r="B214" s="11">
        <f>'Final Data'!G214-'Final Data'!D214</f>
        <v>2.7084803430574542E-2</v>
      </c>
      <c r="C214" s="11">
        <f>'Final Data'!H214-'Final Data'!D214</f>
        <v>3.7288434942139369E-2</v>
      </c>
      <c r="D214" s="12">
        <f>'Final Data'!I214</f>
        <v>2.0559210526316083E-3</v>
      </c>
      <c r="E214"/>
    </row>
    <row r="215" spans="1:5" x14ac:dyDescent="0.2">
      <c r="A215" s="2">
        <v>43616</v>
      </c>
      <c r="B215" s="11">
        <f>'Final Data'!G215-'Final Data'!D215</f>
        <v>-2.7933149319707092E-2</v>
      </c>
      <c r="C215" s="11">
        <f>'Final Data'!H215-'Final Data'!D215</f>
        <v>-6.7736059814494848E-2</v>
      </c>
      <c r="D215" s="12">
        <f>'Final Data'!I215</f>
        <v>2.7697989331144442E-3</v>
      </c>
      <c r="E215"/>
    </row>
    <row r="216" spans="1:5" x14ac:dyDescent="0.2">
      <c r="A216" s="2">
        <v>43646</v>
      </c>
      <c r="B216" s="11">
        <f>'Final Data'!G216-'Final Data'!D216</f>
        <v>3.0721429761012622E-2</v>
      </c>
      <c r="C216" s="11">
        <f>'Final Data'!H216-'Final Data'!D216</f>
        <v>6.7113516541548374E-2</v>
      </c>
      <c r="D216" s="12">
        <f>'Final Data'!I216</f>
        <v>-1.6572890025575493E-2</v>
      </c>
      <c r="E216"/>
    </row>
    <row r="217" spans="1:5" x14ac:dyDescent="0.2">
      <c r="A217" s="2">
        <v>43677</v>
      </c>
      <c r="B217" s="11">
        <f>'Final Data'!G217-'Final Data'!D217</f>
        <v>5.5227257605999988E-3</v>
      </c>
      <c r="C217" s="11">
        <f>'Final Data'!H217-'Final Data'!D217</f>
        <v>1.1453195366039341E-2</v>
      </c>
      <c r="D217" s="12">
        <f>'Final Data'!I217</f>
        <v>2.4862165817122653E-2</v>
      </c>
      <c r="E217"/>
    </row>
    <row r="218" spans="1:5" x14ac:dyDescent="0.2">
      <c r="A218" s="2">
        <v>43708</v>
      </c>
      <c r="B218" s="11">
        <f>'Final Data'!G218-'Final Data'!D218</f>
        <v>1.8187545039634836E-2</v>
      </c>
      <c r="C218" s="11">
        <f>'Final Data'!H218-'Final Data'!D218</f>
        <v>-1.984165274226779E-2</v>
      </c>
      <c r="D218" s="12">
        <f>'Final Data'!I218</f>
        <v>4.0600893219651414E-3</v>
      </c>
      <c r="E218"/>
    </row>
    <row r="219" spans="1:5" x14ac:dyDescent="0.2">
      <c r="A219" s="2">
        <v>43738</v>
      </c>
      <c r="B219" s="11">
        <f>'Final Data'!G219-'Final Data'!D219</f>
        <v>-5.1167738263463741E-2</v>
      </c>
      <c r="C219" s="11">
        <f>'Final Data'!H219-'Final Data'!D219</f>
        <v>1.5589501023990216E-2</v>
      </c>
      <c r="D219" s="12">
        <f>'Final Data'!I219</f>
        <v>4.6502224019408988E-3</v>
      </c>
      <c r="E219"/>
    </row>
    <row r="220" spans="1:5" x14ac:dyDescent="0.2">
      <c r="A220" s="2">
        <v>43769</v>
      </c>
      <c r="B220" s="11">
        <f>'Final Data'!G220-'Final Data'!D220</f>
        <v>3.6929655556932374E-3</v>
      </c>
      <c r="C220" s="11">
        <f>'Final Data'!H220-'Final Data'!D220</f>
        <v>1.9106747482144953E-2</v>
      </c>
      <c r="D220" s="12">
        <f>'Final Data'!I220</f>
        <v>-2.0426645200241511E-2</v>
      </c>
      <c r="E220"/>
    </row>
    <row r="221" spans="1:5" x14ac:dyDescent="0.2">
      <c r="A221" s="2">
        <v>43799</v>
      </c>
      <c r="B221" s="11">
        <f>'Final Data'!G221-'Final Data'!D221</f>
        <v>5.1352952598163179E-2</v>
      </c>
      <c r="C221" s="11">
        <f>'Final Data'!H221-'Final Data'!D221</f>
        <v>3.2697064090915107E-2</v>
      </c>
      <c r="D221" s="12">
        <f>'Final Data'!I221</f>
        <v>9.4504365690806554E-3</v>
      </c>
      <c r="E221"/>
    </row>
    <row r="222" spans="1:5" x14ac:dyDescent="0.2">
      <c r="A222" s="2">
        <v>43830</v>
      </c>
      <c r="B222" s="11">
        <f>'Final Data'!G222-'Final Data'!D222</f>
        <v>-2.8728695787953382E-3</v>
      </c>
      <c r="C222" s="11">
        <f>'Final Data'!H222-'Final Data'!D222</f>
        <v>2.7356469849112969E-2</v>
      </c>
      <c r="D222" s="12">
        <f>'Final Data'!I222</f>
        <v>-1.913096570672632E-2</v>
      </c>
      <c r="E222"/>
    </row>
    <row r="223" spans="1:5" x14ac:dyDescent="0.2">
      <c r="A223" s="2">
        <v>43861</v>
      </c>
      <c r="B223" s="11">
        <f>'Final Data'!G223-'Final Data'!D223</f>
        <v>3.9199413489735269E-3</v>
      </c>
      <c r="C223" s="11">
        <f>'Final Data'!H223-'Final Data'!D223</f>
        <v>-2.9280898111292684E-3</v>
      </c>
      <c r="D223" s="12">
        <f>'Final Data'!I223</f>
        <v>1.0374520178441747E-2</v>
      </c>
      <c r="E223"/>
    </row>
    <row r="224" spans="1:5" x14ac:dyDescent="0.2">
      <c r="A224" s="2">
        <v>43890</v>
      </c>
      <c r="B224" s="11">
        <f>'Final Data'!G224-'Final Data'!D224</f>
        <v>-9.8355191376392898E-2</v>
      </c>
      <c r="C224" s="11">
        <f>'Final Data'!H224-'Final Data'!D224</f>
        <v>-8.5318802342981448E-2</v>
      </c>
      <c r="D224" s="12">
        <f>'Final Data'!I224</f>
        <v>7.5983160488756023E-3</v>
      </c>
      <c r="E224"/>
    </row>
    <row r="225" spans="1:5" x14ac:dyDescent="0.2">
      <c r="A225" s="2">
        <v>43921</v>
      </c>
      <c r="B225" s="11">
        <f>'Final Data'!G225-'Final Data'!D225</f>
        <v>-0.11675357050536384</v>
      </c>
      <c r="C225" s="11">
        <f>'Final Data'!H225-'Final Data'!D225</f>
        <v>-0.12516098750262325</v>
      </c>
      <c r="D225" s="12">
        <f>'Final Data'!I225</f>
        <v>9.3753184551105852E-3</v>
      </c>
      <c r="E225"/>
    </row>
    <row r="226" spans="1:5" x14ac:dyDescent="0.2">
      <c r="A226" s="2">
        <v>43951</v>
      </c>
      <c r="B226" s="11">
        <f>'Final Data'!G226-'Final Data'!D226</f>
        <v>7.3153424056189562E-2</v>
      </c>
      <c r="C226" s="11">
        <f>'Final Data'!H226-'Final Data'!D226</f>
        <v>0.12676076959982036</v>
      </c>
      <c r="D226" s="12">
        <f>'Final Data'!I226</f>
        <v>-3.0287733467946633E-4</v>
      </c>
      <c r="E226"/>
    </row>
    <row r="227" spans="1:5" x14ac:dyDescent="0.2">
      <c r="A227" s="2">
        <v>43982</v>
      </c>
      <c r="B227" s="11">
        <f>'Final Data'!G227-'Final Data'!D227</f>
        <v>-1.4717527893288928E-3</v>
      </c>
      <c r="C227" s="11">
        <f>'Final Data'!H227-'Final Data'!D227</f>
        <v>4.5173441679285033E-2</v>
      </c>
      <c r="D227" s="12">
        <f>'Final Data'!I227</f>
        <v>-6.8672995354473101E-3</v>
      </c>
      <c r="E227"/>
    </row>
    <row r="228" spans="1:5" x14ac:dyDescent="0.2">
      <c r="A228" s="2">
        <v>44012</v>
      </c>
      <c r="B228" s="11">
        <f>'Final Data'!G228-'Final Data'!D228</f>
        <v>1.6275037545224774E-2</v>
      </c>
      <c r="C228" s="11">
        <f>'Final Data'!H228-'Final Data'!D228</f>
        <v>1.8280069950169339E-2</v>
      </c>
      <c r="D228" s="12">
        <f>'Final Data'!I228</f>
        <v>-9.660362009355326E-3</v>
      </c>
      <c r="E228"/>
    </row>
    <row r="229" spans="1:5" x14ac:dyDescent="0.2">
      <c r="A229" s="2">
        <v>44043</v>
      </c>
      <c r="B229" s="11">
        <f>'Final Data'!G229-'Final Data'!D229</f>
        <v>-0.10740255725703535</v>
      </c>
      <c r="C229" s="11">
        <f>'Final Data'!H229-'Final Data'!D229</f>
        <v>5.5026296975444214E-2</v>
      </c>
      <c r="D229" s="12">
        <f>'Final Data'!I229</f>
        <v>-4.1482698428996878E-2</v>
      </c>
      <c r="E229"/>
    </row>
    <row r="230" spans="1:5" x14ac:dyDescent="0.2">
      <c r="A230" s="2">
        <v>44074</v>
      </c>
      <c r="B230" s="11">
        <f>'Final Data'!G230-'Final Data'!D230</f>
        <v>4.6430963308504554E-2</v>
      </c>
      <c r="C230" s="11">
        <f>'Final Data'!H230-'Final Data'!D230</f>
        <v>6.9998020657552576E-2</v>
      </c>
      <c r="D230" s="12">
        <f>'Final Data'!I230</f>
        <v>-1.2961971076593399E-2</v>
      </c>
      <c r="E230"/>
    </row>
    <row r="231" spans="1:5" x14ac:dyDescent="0.2">
      <c r="A231" s="2">
        <v>44104</v>
      </c>
      <c r="B231" s="11">
        <f>'Final Data'!G231-'Final Data'!D231</f>
        <v>2.8091691231097778E-3</v>
      </c>
      <c r="C231" s="11">
        <f>'Final Data'!H231-'Final Data'!D231</f>
        <v>-3.9294620762161052E-2</v>
      </c>
      <c r="D231" s="12">
        <f>'Final Data'!I231</f>
        <v>1.8992836987193402E-2</v>
      </c>
      <c r="E231"/>
    </row>
    <row r="232" spans="1:5" x14ac:dyDescent="0.2">
      <c r="A232" s="2">
        <v>44135</v>
      </c>
      <c r="B232" s="11">
        <f>'Final Data'!G232-'Final Data'!D232</f>
        <v>0.13234425884770712</v>
      </c>
      <c r="C232" s="11">
        <f>'Final Data'!H232-'Final Data'!D232</f>
        <v>-2.7732441272673197E-2</v>
      </c>
      <c r="D232" s="12">
        <f>'Final Data'!I232</f>
        <v>1.5976142294174638E-3</v>
      </c>
      <c r="E232"/>
    </row>
    <row r="233" spans="1:5" x14ac:dyDescent="0.2">
      <c r="A233" s="2">
        <v>44165</v>
      </c>
      <c r="B233" s="11">
        <f>'Final Data'!G233-'Final Data'!D233</f>
        <v>0.10071834219633653</v>
      </c>
      <c r="C233" s="11">
        <f>'Final Data'!H233-'Final Data'!D233</f>
        <v>0.10747899138419635</v>
      </c>
      <c r="D233" s="12">
        <f>'Final Data'!I233</f>
        <v>-2.3075287111867307E-2</v>
      </c>
      <c r="E233"/>
    </row>
    <row r="234" spans="1:5" x14ac:dyDescent="0.2">
      <c r="A234" s="2">
        <v>44196</v>
      </c>
      <c r="B234" s="11">
        <f>'Final Data'!G234-'Final Data'!D234</f>
        <v>1.3275868414998811E-2</v>
      </c>
      <c r="C234" s="11">
        <f>'Final Data'!H234-'Final Data'!D234</f>
        <v>3.7054739992765706E-2</v>
      </c>
      <c r="D234" s="12">
        <f>'Final Data'!I234</f>
        <v>-2.1007946010667321E-2</v>
      </c>
      <c r="E234"/>
    </row>
    <row r="235" spans="1:5" x14ac:dyDescent="0.2">
      <c r="A235" s="2">
        <v>44227</v>
      </c>
      <c r="B235" s="11">
        <f>'Final Data'!G235-'Final Data'!D235</f>
        <v>-6.2941420734014292E-2</v>
      </c>
      <c r="C235" s="11">
        <f>'Final Data'!H235-'Final Data'!D235</f>
        <v>-1.1194973491796935E-2</v>
      </c>
      <c r="D235" s="12">
        <f>'Final Data'!I235</f>
        <v>7.1158550144540872E-3</v>
      </c>
      <c r="E235"/>
    </row>
    <row r="236" spans="1:5" x14ac:dyDescent="0.2">
      <c r="A236" s="2">
        <v>44255</v>
      </c>
      <c r="B236" s="11">
        <f>'Final Data'!G236-'Final Data'!D236</f>
        <v>5.3866860465116309E-2</v>
      </c>
      <c r="C236" s="11">
        <f>'Final Data'!H236-'Final Data'!D236</f>
        <v>2.6058141638666408E-2</v>
      </c>
      <c r="D236" s="12">
        <f>'Final Data'!I236</f>
        <v>3.3119894016338833E-3</v>
      </c>
      <c r="E236"/>
    </row>
    <row r="237" spans="1:5" x14ac:dyDescent="0.2">
      <c r="A237" s="2">
        <v>44286</v>
      </c>
      <c r="B237" s="11">
        <f>'Final Data'!G237-'Final Data'!D237</f>
        <v>8.302809926062131E-2</v>
      </c>
      <c r="C237" s="11">
        <f>'Final Data'!H237-'Final Data'!D237</f>
        <v>4.24303006747744E-2</v>
      </c>
      <c r="D237" s="12">
        <f>'Final Data'!I237</f>
        <v>2.5858274647887418E-2</v>
      </c>
      <c r="E237"/>
    </row>
    <row r="238" spans="1:5" x14ac:dyDescent="0.2">
      <c r="A238" s="2">
        <v>44316</v>
      </c>
      <c r="B238" s="11">
        <f>'Final Data'!G238-'Final Data'!D238</f>
        <v>-7.8610419872304511E-3</v>
      </c>
      <c r="C238" s="11">
        <f>'Final Data'!H238-'Final Data'!D238</f>
        <v>5.2416979222513975E-2</v>
      </c>
      <c r="D238" s="12">
        <f>'Final Data'!I238</f>
        <v>-2.0916014158532691E-2</v>
      </c>
      <c r="E238"/>
    </row>
    <row r="239" spans="1:5" x14ac:dyDescent="0.2">
      <c r="A239" s="2">
        <v>44347</v>
      </c>
      <c r="B239" s="11">
        <f>'Final Data'!G239-'Final Data'!D239</f>
        <v>4.8283019145408848E-2</v>
      </c>
      <c r="C239" s="11">
        <f>'Final Data'!H239-'Final Data'!D239</f>
        <v>5.4781692484797955E-3</v>
      </c>
      <c r="D239" s="12">
        <f>'Final Data'!I239</f>
        <v>-1.3694127957931639E-2</v>
      </c>
      <c r="E239"/>
    </row>
    <row r="240" spans="1:5" x14ac:dyDescent="0.2">
      <c r="A240" s="2">
        <v>44377</v>
      </c>
      <c r="B240" s="11">
        <f>'Final Data'!G240-'Final Data'!D240</f>
        <v>1.3222285991225356E-2</v>
      </c>
      <c r="C240" s="11">
        <f>'Final Data'!H240-'Final Data'!D240</f>
        <v>2.2172309656502884E-2</v>
      </c>
      <c r="D240" s="12">
        <f>'Final Data'!I240</f>
        <v>2.6768854826169017E-2</v>
      </c>
      <c r="E240"/>
    </row>
    <row r="241" spans="1:5" x14ac:dyDescent="0.2">
      <c r="A241" s="2">
        <v>44408</v>
      </c>
      <c r="B241" s="11">
        <f>'Final Data'!G241-'Final Data'!D241</f>
        <v>5.5390817473903217E-2</v>
      </c>
      <c r="C241" s="11">
        <f>'Final Data'!H241-'Final Data'!D241</f>
        <v>2.2706442699243799E-2</v>
      </c>
      <c r="D241" s="12">
        <f>'Final Data'!I241</f>
        <v>-2.9208135006490265E-3</v>
      </c>
      <c r="E241"/>
    </row>
    <row r="242" spans="1:5" x14ac:dyDescent="0.2">
      <c r="A242" s="2">
        <v>44439</v>
      </c>
      <c r="B242" s="11">
        <f>'Final Data'!G242-'Final Data'!D242</f>
        <v>-2.8394826599246453E-3</v>
      </c>
      <c r="C242" s="11">
        <f>'Final Data'!H242-'Final Data'!D242</f>
        <v>2.8965321391681051E-2</v>
      </c>
      <c r="D242" s="12">
        <f>'Final Data'!I242</f>
        <v>4.9907779103829202E-3</v>
      </c>
      <c r="E242"/>
    </row>
    <row r="243" spans="1:5" x14ac:dyDescent="0.2">
      <c r="A243" s="2">
        <v>44469</v>
      </c>
      <c r="B243" s="11">
        <f>'Final Data'!G243-'Final Data'!D243</f>
        <v>-4.3686347110600869E-2</v>
      </c>
      <c r="C243" s="11">
        <f>'Final Data'!H243-'Final Data'!D243</f>
        <v>-4.7627473754499612E-2</v>
      </c>
      <c r="D243" s="12">
        <f>'Final Data'!I243</f>
        <v>1.7273021699233601E-2</v>
      </c>
      <c r="E243"/>
    </row>
    <row r="244" spans="1:5" x14ac:dyDescent="0.2">
      <c r="A244" s="2">
        <v>44500</v>
      </c>
      <c r="B244" s="11">
        <f>'Final Data'!G244-'Final Data'!D244</f>
        <v>0.12284915966386567</v>
      </c>
      <c r="C244" s="11">
        <f>'Final Data'!H244-'Final Data'!D244</f>
        <v>6.9093873301234621E-2</v>
      </c>
      <c r="D244" s="12">
        <f>'Final Data'!I244</f>
        <v>-1.167356468216061E-3</v>
      </c>
      <c r="E244"/>
    </row>
    <row r="245" spans="1:5" x14ac:dyDescent="0.2">
      <c r="A245" s="2">
        <v>44530</v>
      </c>
      <c r="B245" s="11">
        <f>'Final Data'!G245-'Final Data'!D245</f>
        <v>2.8417398325092328E-2</v>
      </c>
      <c r="C245" s="11">
        <f>'Final Data'!H245-'Final Data'!D245</f>
        <v>-8.4253980851381298E-3</v>
      </c>
      <c r="D245" s="12">
        <f>'Final Data'!I245</f>
        <v>1.9868253293667554E-2</v>
      </c>
      <c r="E245"/>
    </row>
    <row r="246" spans="1:5" x14ac:dyDescent="0.2">
      <c r="A246" s="2">
        <v>44561</v>
      </c>
      <c r="B246" s="11">
        <f>'Final Data'!G246-'Final Data'!D246</f>
        <v>6.7904437177877031E-2</v>
      </c>
      <c r="C246" s="11">
        <f>'Final Data'!H246-'Final Data'!D246</f>
        <v>4.3562874972629798E-2</v>
      </c>
      <c r="D246" s="12">
        <f>'Final Data'!I246</f>
        <v>-2.0835503698297763E-4</v>
      </c>
      <c r="E246"/>
    </row>
    <row r="247" spans="1:5" x14ac:dyDescent="0.2">
      <c r="A247" s="2">
        <v>44592</v>
      </c>
      <c r="B247" s="11">
        <f>'Final Data'!G247-'Final Data'!D247</f>
        <v>-0.16390690445291597</v>
      </c>
      <c r="C247" s="11">
        <f>'Final Data'!H247-'Final Data'!D247</f>
        <v>-5.2610089106999755E-2</v>
      </c>
      <c r="D247" s="12">
        <f>'Final Data'!I247</f>
        <v>5.9393560487653162E-3</v>
      </c>
      <c r="E247"/>
    </row>
    <row r="248" spans="1:5" x14ac:dyDescent="0.2">
      <c r="A248" s="2">
        <v>44620</v>
      </c>
      <c r="B248" s="11">
        <f>'Final Data'!G248-'Final Data'!D248</f>
        <v>-8.4411335305815093E-3</v>
      </c>
      <c r="C248" s="11">
        <f>'Final Data'!H248-'Final Data'!D248</f>
        <v>-3.1410520866782692E-2</v>
      </c>
      <c r="D248" s="12">
        <f>'Final Data'!I248</f>
        <v>1.7609281126992696E-3</v>
      </c>
      <c r="E248"/>
    </row>
    <row r="249" spans="1:5" x14ac:dyDescent="0.2">
      <c r="A249" s="2">
        <v>44651</v>
      </c>
      <c r="B249" s="11">
        <f>'Final Data'!G249-'Final Data'!D249</f>
        <v>0.11284992010695882</v>
      </c>
      <c r="C249" s="11">
        <f>'Final Data'!H249-'Final Data'!D249</f>
        <v>3.5631572106613323E-2</v>
      </c>
      <c r="D249" s="12">
        <f>'Final Data'!I249</f>
        <v>1.6544307724123759E-2</v>
      </c>
      <c r="E249"/>
    </row>
    <row r="250" spans="1:5" x14ac:dyDescent="0.2">
      <c r="A250" s="2">
        <v>44681</v>
      </c>
      <c r="B250" s="11">
        <f>'Final Data'!G250-'Final Data'!D250</f>
        <v>-4.1443957838914705E-2</v>
      </c>
      <c r="C250" s="11">
        <f>'Final Data'!H250-'Final Data'!D250</f>
        <v>-8.8265052482372722E-2</v>
      </c>
      <c r="D250" s="12">
        <f>'Final Data'!I250</f>
        <v>4.7299359169972445E-2</v>
      </c>
      <c r="E250"/>
    </row>
    <row r="251" spans="1:5" x14ac:dyDescent="0.2">
      <c r="A251" s="2">
        <v>44712</v>
      </c>
      <c r="B251" s="11">
        <f>'Final Data'!G251-'Final Data'!D251</f>
        <v>2.1208515140403908E-2</v>
      </c>
      <c r="C251" s="11">
        <f>'Final Data'!H251-'Final Data'!D251</f>
        <v>-5.550894497246214E-4</v>
      </c>
      <c r="D251" s="12">
        <f>'Final Data'!I251</f>
        <v>-1.1752136752136691E-2</v>
      </c>
      <c r="E251"/>
    </row>
    <row r="252" spans="1:5" x14ac:dyDescent="0.2">
      <c r="A252" s="2">
        <v>44742</v>
      </c>
      <c r="B252" s="11">
        <f>'Final Data'!G252-'Final Data'!D252</f>
        <v>-5.892976884662543E-2</v>
      </c>
      <c r="C252" s="11">
        <f>'Final Data'!H252-'Final Data'!D252</f>
        <v>-8.498665989053307E-2</v>
      </c>
      <c r="D252" s="12">
        <f>'Final Data'!I252</f>
        <v>2.8894348894348873E-2</v>
      </c>
      <c r="E252"/>
    </row>
    <row r="253" spans="1:5" x14ac:dyDescent="0.2">
      <c r="A253" s="2">
        <v>44773</v>
      </c>
      <c r="B253" s="11">
        <f>'Final Data'!G253-'Final Data'!D253</f>
        <v>0.14612181489240153</v>
      </c>
      <c r="C253" s="11">
        <f>'Final Data'!H253-'Final Data'!D253</f>
        <v>8.9266347632205964E-2</v>
      </c>
      <c r="D253" s="12">
        <f>'Final Data'!I253</f>
        <v>1.1557932944884974E-2</v>
      </c>
      <c r="E253"/>
    </row>
    <row r="254" spans="1:5" x14ac:dyDescent="0.2">
      <c r="A254" s="2">
        <v>44804</v>
      </c>
      <c r="B254" s="11">
        <f>'Final Data'!G254-'Final Data'!D254</f>
        <v>1.1644658261446549E-2</v>
      </c>
      <c r="C254" s="11">
        <f>'Final Data'!H254-'Final Data'!D254</f>
        <v>-4.4440119216810438E-2</v>
      </c>
      <c r="D254" s="12">
        <f>'Final Data'!I254</f>
        <v>2.6440037771482502E-2</v>
      </c>
      <c r="E254"/>
    </row>
    <row r="255" spans="1:5" x14ac:dyDescent="0.2">
      <c r="A255" s="2">
        <v>44834</v>
      </c>
      <c r="B255" s="11">
        <f>'Final Data'!G255-'Final Data'!D255</f>
        <v>-7.6871867967759078E-2</v>
      </c>
      <c r="C255" s="11">
        <f>'Final Data'!H255-'Final Data'!D255</f>
        <v>-9.5720701643489281E-2</v>
      </c>
      <c r="D255" s="12">
        <f>'Final Data'!I255</f>
        <v>3.1462741490340403E-2</v>
      </c>
      <c r="E255"/>
    </row>
    <row r="256" spans="1:5" x14ac:dyDescent="0.2">
      <c r="A256" s="2">
        <v>44865</v>
      </c>
      <c r="B256" s="11">
        <f>'Final Data'!G256-'Final Data'!D256</f>
        <v>6.546233734176278E-2</v>
      </c>
      <c r="C256" s="11">
        <f>'Final Data'!H256-'Final Data'!D256</f>
        <v>7.6755121243559959E-2</v>
      </c>
      <c r="D256" s="12">
        <f>'Final Data'!I256</f>
        <v>-5.2622190510167978E-3</v>
      </c>
      <c r="E256"/>
    </row>
    <row r="257" spans="1:5" x14ac:dyDescent="0.2">
      <c r="A257" s="2">
        <v>44895</v>
      </c>
      <c r="B257" s="11">
        <f>'Final Data'!G257-'Final Data'!D257</f>
        <v>8.9450699903461592E-2</v>
      </c>
      <c r="C257" s="11">
        <f>'Final Data'!H257-'Final Data'!D257</f>
        <v>5.0361193627033222E-2</v>
      </c>
      <c r="D257" s="12">
        <f>'Final Data'!I257</f>
        <v>-5.003138169102482E-2</v>
      </c>
      <c r="E257"/>
    </row>
    <row r="258" spans="1:5" x14ac:dyDescent="0.2">
      <c r="A258" s="2">
        <v>44926</v>
      </c>
      <c r="B258" s="11">
        <f>'Final Data'!G258-'Final Data'!D258</f>
        <v>-9.9140155473107588E-2</v>
      </c>
      <c r="C258" s="11">
        <f>'Final Data'!H258-'Final Data'!D258</f>
        <v>-6.240478263249441E-2</v>
      </c>
      <c r="D258" s="12">
        <f>'Final Data'!I258</f>
        <v>-2.2935346861727293E-2</v>
      </c>
      <c r="E258"/>
    </row>
    <row r="259" spans="1:5" x14ac:dyDescent="0.2">
      <c r="A259" s="2">
        <v>44957</v>
      </c>
      <c r="B259" s="11">
        <f>'Final Data'!G259-'Final Data'!D259</f>
        <v>-5.845118060788751E-2</v>
      </c>
      <c r="C259" s="11">
        <f>'Final Data'!H259-'Final Data'!D259</f>
        <v>5.7936165733385399E-2</v>
      </c>
      <c r="D259" s="12">
        <f>'Final Data'!I259</f>
        <v>-1.371715610510048E-2</v>
      </c>
      <c r="E259"/>
    </row>
    <row r="260" spans="1:5" x14ac:dyDescent="0.2">
      <c r="A260" s="2">
        <v>44985</v>
      </c>
      <c r="B260" s="11">
        <f>'Final Data'!G260-'Final Data'!D260</f>
        <v>-3.0401726008591333E-2</v>
      </c>
      <c r="C260" s="11">
        <f>'Final Data'!H260-'Final Data'!D260</f>
        <v>-2.9987446646715356E-2</v>
      </c>
      <c r="D260" s="12">
        <f>'Final Data'!I260</f>
        <v>2.7130264446621061E-2</v>
      </c>
      <c r="E260"/>
    </row>
    <row r="261" spans="1:5" x14ac:dyDescent="0.2">
      <c r="A261" s="2">
        <v>45016</v>
      </c>
      <c r="B261" s="11">
        <f>'Final Data'!G261-'Final Data'!D261</f>
        <v>8.8331862432899748E-3</v>
      </c>
      <c r="C261" s="11">
        <f>'Final Data'!H261-'Final Data'!D261</f>
        <v>3.1101572358727077E-2</v>
      </c>
      <c r="D261" s="12">
        <f>'Final Data'!I261</f>
        <v>-2.2504052636597684E-2</v>
      </c>
      <c r="E261"/>
    </row>
    <row r="262" spans="1:5" x14ac:dyDescent="0.2">
      <c r="A262" s="2">
        <v>45046</v>
      </c>
      <c r="B262" s="11">
        <f>'Final Data'!G262-'Final Data'!D262</f>
        <v>-1.5438322553115013E-2</v>
      </c>
      <c r="C262" s="11">
        <f>'Final Data'!H262-'Final Data'!D262</f>
        <v>1.1017360882970416E-2</v>
      </c>
      <c r="D262" s="12">
        <f>'Final Data'!I262</f>
        <v>-8.2918739635158365E-3</v>
      </c>
      <c r="E262"/>
    </row>
    <row r="263" spans="1:5" x14ac:dyDescent="0.2">
      <c r="A263" s="2">
        <v>45077</v>
      </c>
      <c r="B263" s="11">
        <f>'Final Data'!G263-'Final Data'!D263</f>
        <v>-5.4445454545454505E-2</v>
      </c>
      <c r="C263" s="11">
        <f>'Final Data'!H263-'Final Data'!D263</f>
        <v>-1.9176760651207431E-3</v>
      </c>
      <c r="D263" s="12">
        <f>'Final Data'!I263</f>
        <v>2.6264017312610681E-2</v>
      </c>
      <c r="E263"/>
    </row>
    <row r="264" spans="1:5" x14ac:dyDescent="0.2">
      <c r="A264" s="2">
        <v>45107</v>
      </c>
      <c r="B264" s="11">
        <f>'Final Data'!G264-'Final Data'!D264</f>
        <v>4.7310447070832651E-2</v>
      </c>
      <c r="C264" s="11">
        <f>'Final Data'!H264-'Final Data'!D264</f>
        <v>6.0360846174764733E-2</v>
      </c>
      <c r="D264" s="12">
        <f>'Final Data'!I264</f>
        <v>-1.361065848749163E-2</v>
      </c>
      <c r="E264"/>
    </row>
    <row r="265" spans="1:5" x14ac:dyDescent="0.2">
      <c r="A265" s="2">
        <v>45138</v>
      </c>
      <c r="B265" s="11">
        <f>'Final Data'!G265-'Final Data'!D265</f>
        <v>0.1204162715925808</v>
      </c>
      <c r="C265" s="11">
        <f>'Final Data'!H265-'Final Data'!D265</f>
        <v>2.6572247313712518E-2</v>
      </c>
      <c r="D265" s="12">
        <f>'Final Data'!I265</f>
        <v>-1.0203090078709525E-2</v>
      </c>
      <c r="E265"/>
    </row>
    <row r="266" spans="1:5" x14ac:dyDescent="0.2">
      <c r="A266" s="2">
        <v>45169</v>
      </c>
      <c r="B266" s="11">
        <f>'Final Data'!G266-'Final Data'!D266</f>
        <v>2.5125794710021934E-2</v>
      </c>
      <c r="C266" s="11">
        <f>'Final Data'!H266-'Final Data'!D266</f>
        <v>-2.2316432481433741E-2</v>
      </c>
      <c r="D266" s="12">
        <f>'Final Data'!I266</f>
        <v>1.7278617710583203E-2</v>
      </c>
      <c r="E266"/>
    </row>
    <row r="267" spans="1:5" x14ac:dyDescent="0.2">
      <c r="A267" s="2">
        <v>45199</v>
      </c>
      <c r="B267" s="11">
        <f>'Final Data'!G267-'Final Data'!D267</f>
        <v>-5.9728884372177056E-2</v>
      </c>
      <c r="C267" s="11">
        <f>'Final Data'!H267-'Final Data'!D267</f>
        <v>-5.3344291162155014E-2</v>
      </c>
      <c r="D267" s="12">
        <f>'Final Data'!I267</f>
        <v>2.5091681142636501E-2</v>
      </c>
      <c r="E267"/>
    </row>
    <row r="268" spans="1:5" x14ac:dyDescent="0.2">
      <c r="A268" s="2">
        <v>45230</v>
      </c>
      <c r="B268" s="11">
        <f>'Final Data'!G268-'Final Data'!D268</f>
        <v>-9.7575390029650627E-2</v>
      </c>
      <c r="C268" s="11">
        <f>'Final Data'!H268-'Final Data'!D268</f>
        <v>-2.6613021070183415E-2</v>
      </c>
      <c r="D268" s="12">
        <f>'Final Data'!I268</f>
        <v>4.1423460741856315E-3</v>
      </c>
      <c r="E268"/>
    </row>
    <row r="269" spans="1:5" x14ac:dyDescent="0.2">
      <c r="A269" s="2">
        <v>45260</v>
      </c>
      <c r="B269" s="11">
        <f>'Final Data'!G269-'Final Data'!D269</f>
        <v>4.8982283933644899E-2</v>
      </c>
      <c r="C269" s="11">
        <f>'Final Data'!H269-'Final Data'!D269</f>
        <v>8.4545931295404317E-2</v>
      </c>
      <c r="D269" s="12">
        <f>'Final Data'!I269</f>
        <v>-2.9626851678229857E-2</v>
      </c>
      <c r="E269"/>
    </row>
    <row r="270" spans="1:5" x14ac:dyDescent="0.2">
      <c r="A270" s="2">
        <v>45291</v>
      </c>
      <c r="B270" s="11">
        <f>'Final Data'!G270-'Final Data'!D270</f>
        <v>8.5988169798191186E-3</v>
      </c>
      <c r="C270" s="11">
        <f>'Final Data'!H270-'Final Data'!D270</f>
        <v>3.956250273654708E-2</v>
      </c>
      <c r="D270" s="12">
        <f>'Final Data'!I270</f>
        <v>-2.0966183574879244E-2</v>
      </c>
      <c r="E270"/>
    </row>
    <row r="271" spans="1:5" x14ac:dyDescent="0.2">
      <c r="B271" s="24"/>
      <c r="C271" s="12"/>
      <c r="D271" s="12"/>
      <c r="E271"/>
    </row>
    <row r="272" spans="1:5" x14ac:dyDescent="0.2">
      <c r="E272"/>
    </row>
    <row r="273" spans="5:5" x14ac:dyDescent="0.2">
      <c r="E273"/>
    </row>
    <row r="274" spans="5:5" x14ac:dyDescent="0.2">
      <c r="E274"/>
    </row>
    <row r="275" spans="5:5" x14ac:dyDescent="0.2">
      <c r="E275"/>
    </row>
    <row r="276" spans="5:5" x14ac:dyDescent="0.2">
      <c r="E276"/>
    </row>
    <row r="277" spans="5:5" x14ac:dyDescent="0.2">
      <c r="E277"/>
    </row>
    <row r="278" spans="5:5" x14ac:dyDescent="0.2">
      <c r="E278"/>
    </row>
    <row r="279" spans="5:5" x14ac:dyDescent="0.2">
      <c r="E279"/>
    </row>
    <row r="280" spans="5:5" x14ac:dyDescent="0.2">
      <c r="E280"/>
    </row>
    <row r="281" spans="5:5" x14ac:dyDescent="0.2">
      <c r="E281"/>
    </row>
    <row r="282" spans="5:5" x14ac:dyDescent="0.2">
      <c r="E2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6AC7-5503-F04C-971D-414ED5B4B15C}">
  <dimension ref="A1:T272"/>
  <sheetViews>
    <sheetView zoomScale="139" workbookViewId="0">
      <selection activeCell="AA12" sqref="AA12"/>
    </sheetView>
  </sheetViews>
  <sheetFormatPr baseColWidth="10" defaultRowHeight="16" x14ac:dyDescent="0.2"/>
  <cols>
    <col min="1" max="1" width="21.1640625" style="1" customWidth="1"/>
    <col min="2" max="3" width="18.5" style="1" customWidth="1"/>
    <col min="4" max="4" width="23.1640625" style="1" bestFit="1" customWidth="1"/>
    <col min="5" max="5" width="18.5" style="1" customWidth="1"/>
    <col min="6" max="6" width="16" style="17" customWidth="1"/>
    <col min="7" max="9" width="20.1640625" style="1" bestFit="1" customWidth="1"/>
    <col min="11" max="11" width="13" style="1" customWidth="1"/>
    <col min="12" max="12" width="17.1640625" style="1" customWidth="1"/>
    <col min="13" max="13" width="17" style="1" customWidth="1"/>
    <col min="14" max="14" width="17.5" style="1" customWidth="1"/>
    <col min="15" max="15" width="16.6640625" style="1" customWidth="1"/>
    <col min="16" max="16" width="17.6640625" customWidth="1"/>
    <col min="17" max="17" width="16.83203125" customWidth="1"/>
    <col min="18" max="18" width="20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7" t="s">
        <v>4</v>
      </c>
      <c r="G1" s="29" t="s">
        <v>32</v>
      </c>
      <c r="H1" s="25" t="s">
        <v>33</v>
      </c>
      <c r="I1" s="27" t="s">
        <v>31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9" t="s">
        <v>32</v>
      </c>
      <c r="Q1" s="25" t="s">
        <v>33</v>
      </c>
      <c r="R1" s="32" t="s">
        <v>31</v>
      </c>
    </row>
    <row r="2" spans="1:18" x14ac:dyDescent="0.2">
      <c r="A2" s="2">
        <v>37134</v>
      </c>
      <c r="B2" s="3">
        <v>113.42</v>
      </c>
      <c r="C2" s="3">
        <v>3.4</v>
      </c>
      <c r="D2" s="11">
        <f>C2/12/100</f>
        <v>2.8333333333333331E-3</v>
      </c>
      <c r="E2" s="4">
        <v>1133.5999999999999</v>
      </c>
      <c r="F2" s="17">
        <v>51.76</v>
      </c>
      <c r="G2" s="31"/>
      <c r="H2" s="26"/>
      <c r="I2" s="28"/>
      <c r="K2" s="2">
        <v>45322</v>
      </c>
      <c r="L2" s="1">
        <v>103.27</v>
      </c>
      <c r="M2" s="3">
        <v>5.53</v>
      </c>
      <c r="N2" s="4">
        <v>4845.6499999999996</v>
      </c>
      <c r="O2" s="1">
        <v>245.78</v>
      </c>
      <c r="P2" s="30"/>
      <c r="Q2" s="35"/>
      <c r="R2" s="33"/>
    </row>
    <row r="3" spans="1:18" x14ac:dyDescent="0.2">
      <c r="A3" s="2">
        <v>37164</v>
      </c>
      <c r="B3" s="1">
        <v>113.48</v>
      </c>
      <c r="C3" s="3">
        <v>2.2799999999999998</v>
      </c>
      <c r="D3" s="11">
        <f t="shared" ref="D3:D66" si="0">C3/12/100</f>
        <v>1.8999999999999998E-3</v>
      </c>
      <c r="E3" s="4">
        <v>1040.9000000000001</v>
      </c>
      <c r="F3" s="17">
        <v>47.04</v>
      </c>
      <c r="G3" s="31">
        <f>(F3-F2)/F2</f>
        <v>-9.1190108191653768E-2</v>
      </c>
      <c r="H3" s="26">
        <f>(E3-E2)/E2</f>
        <v>-8.1774876499646987E-2</v>
      </c>
      <c r="I3" s="28">
        <f t="shared" ref="I3:I66" si="1">(B3-B2)/B2</f>
        <v>5.2900722976549348E-4</v>
      </c>
      <c r="K3" s="2">
        <v>45351</v>
      </c>
      <c r="L3" s="1">
        <v>104.16</v>
      </c>
      <c r="M3" s="3">
        <v>5.53</v>
      </c>
      <c r="N3" s="4">
        <v>5096.2700000000004</v>
      </c>
      <c r="O3" s="1">
        <v>251.13</v>
      </c>
      <c r="P3" s="31">
        <f>(O3-O2)/O2</f>
        <v>2.1767434290829172E-2</v>
      </c>
      <c r="Q3" s="26">
        <f>(N3-N2)/N2</f>
        <v>5.1720615397315289E-2</v>
      </c>
      <c r="R3" s="34">
        <f>(L3-L2)/L2</f>
        <v>8.618185339401575E-3</v>
      </c>
    </row>
    <row r="4" spans="1:18" x14ac:dyDescent="0.2">
      <c r="A4" s="2">
        <v>37195</v>
      </c>
      <c r="B4" s="1">
        <v>114.86</v>
      </c>
      <c r="C4" s="3">
        <v>2.15</v>
      </c>
      <c r="D4" s="11">
        <f t="shared" si="0"/>
        <v>1.7916666666666667E-3</v>
      </c>
      <c r="E4" s="4">
        <v>1059.8</v>
      </c>
      <c r="F4" s="17">
        <v>51.66</v>
      </c>
      <c r="G4" s="31">
        <f t="shared" ref="G4:G67" si="2">(F4-F3)/F3</f>
        <v>9.8214285714285657E-2</v>
      </c>
      <c r="H4" s="26">
        <f t="shared" ref="H4:H67" si="3">(E4-E3)/E3</f>
        <v>1.8157363819771219E-2</v>
      </c>
      <c r="I4" s="28">
        <f t="shared" si="1"/>
        <v>1.2160733168840284E-2</v>
      </c>
      <c r="K4" s="2">
        <v>45382</v>
      </c>
      <c r="L4" s="1">
        <v>104.55</v>
      </c>
      <c r="M4" s="3">
        <v>5.49</v>
      </c>
      <c r="N4" s="4">
        <v>5254.35</v>
      </c>
      <c r="O4" s="1">
        <v>249.74</v>
      </c>
      <c r="P4" s="31">
        <f t="shared" ref="P4:P13" si="4">(O4-O3)/O3</f>
        <v>-5.5349818818937859E-3</v>
      </c>
      <c r="Q4" s="26">
        <f t="shared" ref="Q4:Q13" si="5">(N4-N3)/N3</f>
        <v>3.1018764704381814E-2</v>
      </c>
      <c r="R4" s="34">
        <f t="shared" ref="R4:R13" si="6">(L4-L3)/L3</f>
        <v>3.744239631336411E-3</v>
      </c>
    </row>
    <row r="5" spans="1:18" x14ac:dyDescent="0.2">
      <c r="A5" s="2">
        <v>37225</v>
      </c>
      <c r="B5" s="1">
        <v>116.13</v>
      </c>
      <c r="C5" s="3">
        <v>1.87</v>
      </c>
      <c r="D5" s="11">
        <f t="shared" si="0"/>
        <v>1.5583333333333334E-3</v>
      </c>
      <c r="E5" s="4">
        <v>1139.5</v>
      </c>
      <c r="F5" s="17">
        <v>55.46</v>
      </c>
      <c r="G5" s="31">
        <f t="shared" si="2"/>
        <v>7.3557878435927301E-2</v>
      </c>
      <c r="H5" s="26">
        <f t="shared" si="3"/>
        <v>7.5202868465748307E-2</v>
      </c>
      <c r="I5" s="28">
        <f t="shared" si="1"/>
        <v>1.1056938882117326E-2</v>
      </c>
      <c r="K5" s="2">
        <v>45412</v>
      </c>
      <c r="L5" s="1">
        <v>106.22</v>
      </c>
      <c r="M5" s="3">
        <v>5.48</v>
      </c>
      <c r="N5" s="4">
        <v>5035.6899999999996</v>
      </c>
      <c r="O5" s="1">
        <v>241.89</v>
      </c>
      <c r="P5" s="31">
        <f t="shared" si="4"/>
        <v>-3.1432689997597595E-2</v>
      </c>
      <c r="Q5" s="26">
        <f t="shared" si="5"/>
        <v>-4.1615042774082567E-2</v>
      </c>
      <c r="R5" s="34">
        <f t="shared" si="6"/>
        <v>1.5973218555714985E-2</v>
      </c>
    </row>
    <row r="6" spans="1:18" x14ac:dyDescent="0.2">
      <c r="A6" s="2">
        <v>37256</v>
      </c>
      <c r="B6" s="1">
        <v>116.75</v>
      </c>
      <c r="C6" s="3">
        <v>1.68</v>
      </c>
      <c r="D6" s="11">
        <f t="shared" si="0"/>
        <v>1.3999999999999998E-3</v>
      </c>
      <c r="E6" s="4">
        <v>1148.0999999999999</v>
      </c>
      <c r="F6" s="17">
        <v>58.9</v>
      </c>
      <c r="G6" s="31">
        <f t="shared" si="2"/>
        <v>6.2026685899747525E-2</v>
      </c>
      <c r="H6" s="26">
        <f t="shared" si="3"/>
        <v>7.547169811320675E-3</v>
      </c>
      <c r="I6" s="28">
        <f t="shared" si="1"/>
        <v>5.3388443985189406E-3</v>
      </c>
      <c r="K6" s="2">
        <v>45443</v>
      </c>
      <c r="L6" s="1">
        <v>104.67</v>
      </c>
      <c r="M6" s="3">
        <v>5.48</v>
      </c>
      <c r="N6" s="4">
        <v>5277.51</v>
      </c>
      <c r="O6" s="1">
        <v>244.92</v>
      </c>
      <c r="P6" s="31">
        <f t="shared" si="4"/>
        <v>1.2526354954731495E-2</v>
      </c>
      <c r="Q6" s="26">
        <f t="shared" si="5"/>
        <v>4.8021224499522536E-2</v>
      </c>
      <c r="R6" s="34">
        <f t="shared" si="6"/>
        <v>-1.4592355488608521E-2</v>
      </c>
    </row>
    <row r="7" spans="1:18" x14ac:dyDescent="0.2">
      <c r="A7" s="2">
        <v>37287</v>
      </c>
      <c r="B7" s="1">
        <v>120.24</v>
      </c>
      <c r="C7" s="3">
        <v>1.69</v>
      </c>
      <c r="D7" s="11">
        <f t="shared" si="0"/>
        <v>1.4083333333333335E-3</v>
      </c>
      <c r="E7" s="4">
        <v>1130.2</v>
      </c>
      <c r="F7" s="17">
        <v>54</v>
      </c>
      <c r="G7" s="31">
        <f t="shared" si="2"/>
        <v>-8.3191850594227484E-2</v>
      </c>
      <c r="H7" s="26">
        <f t="shared" si="3"/>
        <v>-1.5590976395784223E-2</v>
      </c>
      <c r="I7" s="28">
        <f t="shared" si="1"/>
        <v>2.989293361884364E-2</v>
      </c>
      <c r="K7" s="2">
        <v>45473</v>
      </c>
      <c r="L7" s="1">
        <v>105.87</v>
      </c>
      <c r="M7" s="3">
        <v>5.47</v>
      </c>
      <c r="N7" s="4">
        <v>5460.48</v>
      </c>
      <c r="O7" s="1">
        <v>238.69</v>
      </c>
      <c r="P7" s="31">
        <f t="shared" si="4"/>
        <v>-2.5436877347705333E-2</v>
      </c>
      <c r="Q7" s="26">
        <f t="shared" si="5"/>
        <v>3.4669759034089816E-2</v>
      </c>
      <c r="R7" s="34">
        <f t="shared" si="6"/>
        <v>1.1464603038119832E-2</v>
      </c>
    </row>
    <row r="8" spans="1:18" x14ac:dyDescent="0.2">
      <c r="A8" s="2">
        <v>37315</v>
      </c>
      <c r="B8" s="1">
        <v>119.16</v>
      </c>
      <c r="C8" s="3">
        <v>1.76</v>
      </c>
      <c r="D8" s="11">
        <f t="shared" si="0"/>
        <v>1.4666666666666667E-3</v>
      </c>
      <c r="E8" s="4">
        <v>1106.7</v>
      </c>
      <c r="F8" s="17">
        <v>52.71</v>
      </c>
      <c r="G8" s="31">
        <f t="shared" si="2"/>
        <v>-2.3888888888888873E-2</v>
      </c>
      <c r="H8" s="26">
        <f t="shared" si="3"/>
        <v>-2.0792780038931161E-2</v>
      </c>
      <c r="I8" s="28">
        <f t="shared" si="1"/>
        <v>-8.9820359281436984E-3</v>
      </c>
      <c r="K8" s="2">
        <v>45504</v>
      </c>
      <c r="L8" s="1">
        <v>104.1</v>
      </c>
      <c r="M8" s="3">
        <v>5.49</v>
      </c>
      <c r="N8" s="4">
        <v>5522.3</v>
      </c>
      <c r="O8" s="1">
        <v>262.62</v>
      </c>
      <c r="P8" s="31">
        <f t="shared" si="4"/>
        <v>0.10025556160710548</v>
      </c>
      <c r="Q8" s="26">
        <f t="shared" si="5"/>
        <v>1.1321349038912444E-2</v>
      </c>
      <c r="R8" s="34">
        <f t="shared" si="6"/>
        <v>-1.6718617172003496E-2</v>
      </c>
    </row>
    <row r="9" spans="1:18" x14ac:dyDescent="0.2">
      <c r="A9" s="2">
        <v>37346</v>
      </c>
      <c r="B9" s="1">
        <v>118.62</v>
      </c>
      <c r="C9" s="3">
        <v>1.76</v>
      </c>
      <c r="D9" s="11">
        <f t="shared" si="0"/>
        <v>1.4666666666666667E-3</v>
      </c>
      <c r="E9" s="4">
        <v>1147.4000000000001</v>
      </c>
      <c r="F9" s="17">
        <v>58.27</v>
      </c>
      <c r="G9" s="31">
        <f t="shared" si="2"/>
        <v>0.10548283058243221</v>
      </c>
      <c r="H9" s="26">
        <f t="shared" si="3"/>
        <v>3.677600072286983E-2</v>
      </c>
      <c r="I9" s="28">
        <f t="shared" si="1"/>
        <v>-4.5317220543805983E-3</v>
      </c>
      <c r="K9" s="2">
        <v>45535</v>
      </c>
      <c r="L9" s="1">
        <v>101.7</v>
      </c>
      <c r="M9" s="3">
        <v>5.41</v>
      </c>
      <c r="N9" s="4">
        <v>5648.4</v>
      </c>
      <c r="O9" s="1">
        <v>275.91000000000003</v>
      </c>
      <c r="P9" s="31">
        <f t="shared" si="4"/>
        <v>5.0605437514279261E-2</v>
      </c>
      <c r="Q9" s="26">
        <f t="shared" si="5"/>
        <v>2.2834688445031861E-2</v>
      </c>
      <c r="R9" s="34">
        <f t="shared" si="6"/>
        <v>-2.3054755043227584E-2</v>
      </c>
    </row>
    <row r="10" spans="1:18" x14ac:dyDescent="0.2">
      <c r="A10" s="2">
        <v>37376</v>
      </c>
      <c r="B10" s="1">
        <v>115.19</v>
      </c>
      <c r="C10" s="3">
        <v>1.77</v>
      </c>
      <c r="D10" s="11">
        <f t="shared" si="0"/>
        <v>1.475E-3</v>
      </c>
      <c r="E10" s="4">
        <v>1076.9000000000001</v>
      </c>
      <c r="F10" s="17">
        <v>50.84</v>
      </c>
      <c r="G10" s="31">
        <f t="shared" si="2"/>
        <v>-0.12750986785652993</v>
      </c>
      <c r="H10" s="26">
        <f t="shared" si="3"/>
        <v>-6.1443263029457899E-2</v>
      </c>
      <c r="I10" s="28">
        <f t="shared" si="1"/>
        <v>-2.8915865789917439E-2</v>
      </c>
      <c r="K10" s="2">
        <v>45565</v>
      </c>
      <c r="L10" s="1">
        <v>100.78</v>
      </c>
      <c r="M10" s="3">
        <v>4.93</v>
      </c>
      <c r="N10" s="4">
        <v>5762.48</v>
      </c>
      <c r="O10" s="1">
        <v>276.73</v>
      </c>
      <c r="P10" s="31">
        <f t="shared" si="4"/>
        <v>2.9719836178463744E-3</v>
      </c>
      <c r="Q10" s="26">
        <f t="shared" si="5"/>
        <v>2.0196869910063014E-2</v>
      </c>
      <c r="R10" s="34">
        <f t="shared" si="6"/>
        <v>-9.0462143559488853E-3</v>
      </c>
    </row>
    <row r="11" spans="1:18" x14ac:dyDescent="0.2">
      <c r="A11" s="2">
        <v>37407</v>
      </c>
      <c r="B11" s="1">
        <v>111.81</v>
      </c>
      <c r="C11" s="3">
        <v>1.72</v>
      </c>
      <c r="D11" s="11">
        <f t="shared" si="0"/>
        <v>1.4333333333333333E-3</v>
      </c>
      <c r="E11" s="4">
        <v>1067.0999999999999</v>
      </c>
      <c r="F11" s="17">
        <v>51.92</v>
      </c>
      <c r="G11" s="31">
        <f t="shared" si="2"/>
        <v>2.1243115656962987E-2</v>
      </c>
      <c r="H11" s="26">
        <f t="shared" si="3"/>
        <v>-9.1001950041788293E-3</v>
      </c>
      <c r="I11" s="28">
        <f t="shared" si="1"/>
        <v>-2.9342824897994578E-2</v>
      </c>
      <c r="K11" s="2">
        <v>45596</v>
      </c>
      <c r="L11" s="1">
        <v>103.98</v>
      </c>
      <c r="M11" s="3">
        <v>4.76</v>
      </c>
      <c r="N11" s="4">
        <v>5705.45</v>
      </c>
      <c r="O11" s="1">
        <v>289.24</v>
      </c>
      <c r="P11" s="31">
        <f t="shared" si="4"/>
        <v>4.5206518989628845E-2</v>
      </c>
      <c r="Q11" s="26">
        <f t="shared" si="5"/>
        <v>-9.896780552817494E-3</v>
      </c>
      <c r="R11" s="34">
        <f t="shared" si="6"/>
        <v>3.1752331811867464E-2</v>
      </c>
    </row>
    <row r="12" spans="1:18" x14ac:dyDescent="0.2">
      <c r="A12" s="2">
        <v>37437</v>
      </c>
      <c r="B12" s="1">
        <v>106.11</v>
      </c>
      <c r="C12" s="3">
        <v>1.69</v>
      </c>
      <c r="D12" s="11">
        <f t="shared" si="0"/>
        <v>1.4083333333333335E-3</v>
      </c>
      <c r="E12" s="1">
        <v>989.8</v>
      </c>
      <c r="F12" s="17">
        <v>43.55</v>
      </c>
      <c r="G12" s="31">
        <f t="shared" si="2"/>
        <v>-0.16120955315870578</v>
      </c>
      <c r="H12" s="26">
        <f t="shared" si="3"/>
        <v>-7.2439321525630179E-2</v>
      </c>
      <c r="I12" s="28">
        <f t="shared" si="1"/>
        <v>-5.0979339951703805E-2</v>
      </c>
      <c r="K12" s="2">
        <v>45626</v>
      </c>
      <c r="L12" s="1">
        <v>105.74</v>
      </c>
      <c r="M12" s="3">
        <v>4.76</v>
      </c>
      <c r="N12" s="4">
        <v>6032.38</v>
      </c>
      <c r="O12" s="1">
        <v>306.93</v>
      </c>
      <c r="P12" s="31">
        <f t="shared" si="4"/>
        <v>6.1160282118655776E-2</v>
      </c>
      <c r="Q12" s="26">
        <f t="shared" si="5"/>
        <v>5.7301352215863834E-2</v>
      </c>
      <c r="R12" s="34">
        <f t="shared" si="6"/>
        <v>1.6926331986920475E-2</v>
      </c>
    </row>
    <row r="13" spans="1:18" x14ac:dyDescent="0.2">
      <c r="A13" s="2">
        <v>37468</v>
      </c>
      <c r="B13" s="1">
        <v>107.41</v>
      </c>
      <c r="C13" s="3">
        <v>1.73</v>
      </c>
      <c r="D13" s="11">
        <f t="shared" si="0"/>
        <v>1.4416666666666666E-3</v>
      </c>
      <c r="E13" s="1">
        <v>911.6</v>
      </c>
      <c r="F13" s="17">
        <v>37.29</v>
      </c>
      <c r="G13" s="31">
        <f t="shared" si="2"/>
        <v>-0.14374282433983923</v>
      </c>
      <c r="H13" s="26">
        <f t="shared" si="3"/>
        <v>-7.9005859769650369E-2</v>
      </c>
      <c r="I13" s="28">
        <f t="shared" si="1"/>
        <v>1.2251437187823929E-2</v>
      </c>
      <c r="K13" s="2">
        <v>45657</v>
      </c>
      <c r="L13" s="1">
        <v>108.49</v>
      </c>
      <c r="M13" s="3">
        <v>4.4000000000000004</v>
      </c>
      <c r="N13" s="4">
        <v>5881.63</v>
      </c>
      <c r="O13" s="1">
        <v>292.73</v>
      </c>
      <c r="P13" s="31">
        <f t="shared" si="4"/>
        <v>-4.6264620597530344E-2</v>
      </c>
      <c r="Q13" s="26">
        <f t="shared" si="5"/>
        <v>-2.4990136563014929E-2</v>
      </c>
      <c r="R13" s="34">
        <f t="shared" si="6"/>
        <v>2.6007187440892757E-2</v>
      </c>
    </row>
    <row r="14" spans="1:18" x14ac:dyDescent="0.2">
      <c r="A14" s="2">
        <v>37499</v>
      </c>
      <c r="B14" s="1">
        <v>106.98</v>
      </c>
      <c r="C14" s="3">
        <v>1.7</v>
      </c>
      <c r="D14" s="11">
        <f t="shared" si="0"/>
        <v>1.4166666666666666E-3</v>
      </c>
      <c r="E14" s="1">
        <v>916.1</v>
      </c>
      <c r="F14" s="17">
        <v>37.770000000000003</v>
      </c>
      <c r="G14" s="31">
        <f t="shared" si="2"/>
        <v>1.2872083668543952E-2</v>
      </c>
      <c r="H14" s="26">
        <f t="shared" si="3"/>
        <v>4.936375603334796E-3</v>
      </c>
      <c r="I14" s="28">
        <f t="shared" si="1"/>
        <v>-4.0033516432361289E-3</v>
      </c>
    </row>
    <row r="15" spans="1:18" x14ac:dyDescent="0.2">
      <c r="A15" s="2">
        <v>37529</v>
      </c>
      <c r="B15" s="1">
        <v>106.87</v>
      </c>
      <c r="C15" s="3">
        <v>1.6</v>
      </c>
      <c r="D15" s="11">
        <f t="shared" si="0"/>
        <v>1.3333333333333333E-3</v>
      </c>
      <c r="E15" s="1">
        <v>815.3</v>
      </c>
      <c r="F15" s="17">
        <v>34.770000000000003</v>
      </c>
      <c r="G15" s="31">
        <f t="shared" si="2"/>
        <v>-7.9428117553613967E-2</v>
      </c>
      <c r="H15" s="26">
        <f t="shared" si="3"/>
        <v>-0.1100316559327585</v>
      </c>
      <c r="I15" s="28">
        <f t="shared" si="1"/>
        <v>-1.0282295756216062E-3</v>
      </c>
    </row>
    <row r="16" spans="1:18" x14ac:dyDescent="0.2">
      <c r="A16" s="2">
        <v>37560</v>
      </c>
      <c r="B16" s="1">
        <v>106.64</v>
      </c>
      <c r="C16" s="3">
        <v>1.48</v>
      </c>
      <c r="D16" s="11">
        <f t="shared" si="0"/>
        <v>1.2333333333333335E-3</v>
      </c>
      <c r="E16" s="1">
        <v>885.8</v>
      </c>
      <c r="F16" s="17">
        <v>42.53</v>
      </c>
      <c r="G16" s="31">
        <f t="shared" si="2"/>
        <v>0.22318090307736546</v>
      </c>
      <c r="H16" s="26">
        <f t="shared" si="3"/>
        <v>8.6471237581258437E-2</v>
      </c>
      <c r="I16" s="28">
        <f t="shared" si="1"/>
        <v>-2.1521474688874706E-3</v>
      </c>
    </row>
    <row r="17" spans="1:9" x14ac:dyDescent="0.2">
      <c r="A17" s="2">
        <v>37590</v>
      </c>
      <c r="B17" s="1">
        <v>106.41</v>
      </c>
      <c r="C17" s="3">
        <v>1.25</v>
      </c>
      <c r="D17" s="11">
        <f t="shared" si="0"/>
        <v>1.0416666666666667E-3</v>
      </c>
      <c r="E17" s="1">
        <v>936.3</v>
      </c>
      <c r="F17" s="17">
        <v>43.47</v>
      </c>
      <c r="G17" s="31">
        <f t="shared" si="2"/>
        <v>2.2102045614860046E-2</v>
      </c>
      <c r="H17" s="26">
        <f t="shared" si="3"/>
        <v>5.7010611876270038E-2</v>
      </c>
      <c r="I17" s="28">
        <f t="shared" si="1"/>
        <v>-2.1567891972993623E-3</v>
      </c>
    </row>
    <row r="18" spans="1:9" x14ac:dyDescent="0.2">
      <c r="A18" s="2">
        <v>37621</v>
      </c>
      <c r="B18" s="1">
        <v>101.85</v>
      </c>
      <c r="C18" s="3">
        <v>1.2</v>
      </c>
      <c r="D18" s="11">
        <f t="shared" si="0"/>
        <v>1E-3</v>
      </c>
      <c r="E18" s="1">
        <v>879.8</v>
      </c>
      <c r="F18" s="17">
        <v>39.25</v>
      </c>
      <c r="G18" s="31">
        <f t="shared" si="2"/>
        <v>-9.7078444904531838E-2</v>
      </c>
      <c r="H18" s="26">
        <f t="shared" si="3"/>
        <v>-6.0343906867457012E-2</v>
      </c>
      <c r="I18" s="28">
        <f t="shared" si="1"/>
        <v>-4.2853115308711609E-2</v>
      </c>
    </row>
    <row r="19" spans="1:9" x14ac:dyDescent="0.2">
      <c r="A19" s="2">
        <v>37652</v>
      </c>
      <c r="B19" s="1">
        <v>99.91</v>
      </c>
      <c r="C19" s="3">
        <v>1.17</v>
      </c>
      <c r="D19" s="11">
        <f t="shared" si="0"/>
        <v>9.7499999999999985E-4</v>
      </c>
      <c r="E19" s="1">
        <v>855.7</v>
      </c>
      <c r="F19" s="17">
        <v>34.67</v>
      </c>
      <c r="G19" s="31">
        <f t="shared" si="2"/>
        <v>-0.11668789808917193</v>
      </c>
      <c r="H19" s="26">
        <f t="shared" si="3"/>
        <v>-2.7392589224823721E-2</v>
      </c>
      <c r="I19" s="28">
        <f t="shared" si="1"/>
        <v>-1.9047619047619025E-2</v>
      </c>
    </row>
    <row r="20" spans="1:9" x14ac:dyDescent="0.2">
      <c r="A20" s="2">
        <v>37680</v>
      </c>
      <c r="B20" s="1">
        <v>99.71</v>
      </c>
      <c r="C20" s="3">
        <v>1.21</v>
      </c>
      <c r="D20" s="11">
        <f t="shared" si="0"/>
        <v>1.0083333333333333E-3</v>
      </c>
      <c r="E20" s="1">
        <v>841.1</v>
      </c>
      <c r="F20" s="17">
        <v>32.5</v>
      </c>
      <c r="G20" s="31">
        <f t="shared" si="2"/>
        <v>-6.2590135563888136E-2</v>
      </c>
      <c r="H20" s="26">
        <f t="shared" si="3"/>
        <v>-1.7062054458338229E-2</v>
      </c>
      <c r="I20" s="28">
        <f t="shared" si="1"/>
        <v>-2.001801621459342E-3</v>
      </c>
    </row>
    <row r="21" spans="1:9" x14ac:dyDescent="0.2">
      <c r="A21" s="2">
        <v>37711</v>
      </c>
      <c r="B21" s="1">
        <v>99.06</v>
      </c>
      <c r="C21" s="3">
        <v>1.1599999999999999</v>
      </c>
      <c r="D21" s="11">
        <f t="shared" si="0"/>
        <v>9.6666666666666667E-4</v>
      </c>
      <c r="E21" s="1">
        <v>848.2</v>
      </c>
      <c r="F21" s="17">
        <v>30.79</v>
      </c>
      <c r="G21" s="31">
        <f t="shared" si="2"/>
        <v>-5.261538461538464E-2</v>
      </c>
      <c r="H21" s="26">
        <f t="shared" si="3"/>
        <v>8.4413268339080041E-3</v>
      </c>
      <c r="I21" s="28">
        <f t="shared" si="1"/>
        <v>-6.518904823989485E-3</v>
      </c>
    </row>
    <row r="22" spans="1:9" x14ac:dyDescent="0.2">
      <c r="A22" s="2">
        <v>37741</v>
      </c>
      <c r="B22" s="1">
        <v>97.19</v>
      </c>
      <c r="C22" s="3">
        <v>1.1299999999999999</v>
      </c>
      <c r="D22" s="11">
        <f t="shared" si="0"/>
        <v>9.4166666666666661E-4</v>
      </c>
      <c r="E22" s="1">
        <v>916.9</v>
      </c>
      <c r="F22" s="17">
        <v>33.630000000000003</v>
      </c>
      <c r="G22" s="31">
        <f t="shared" si="2"/>
        <v>9.2237739525820178E-2</v>
      </c>
      <c r="H22" s="26">
        <f t="shared" si="3"/>
        <v>8.0995048337656125E-2</v>
      </c>
      <c r="I22" s="28">
        <f t="shared" si="1"/>
        <v>-1.8877448011306325E-2</v>
      </c>
    </row>
    <row r="23" spans="1:9" x14ac:dyDescent="0.2">
      <c r="A23" s="2">
        <v>37772</v>
      </c>
      <c r="B23" s="1">
        <v>93.27</v>
      </c>
      <c r="C23" s="3">
        <v>1.1599999999999999</v>
      </c>
      <c r="D23" s="11">
        <f t="shared" si="0"/>
        <v>9.6666666666666667E-4</v>
      </c>
      <c r="E23" s="1">
        <v>963.6</v>
      </c>
      <c r="F23" s="17">
        <v>34.9</v>
      </c>
      <c r="G23" s="31">
        <f t="shared" si="2"/>
        <v>3.7763901278620157E-2</v>
      </c>
      <c r="H23" s="26">
        <f t="shared" si="3"/>
        <v>5.0932489911658899E-2</v>
      </c>
      <c r="I23" s="28">
        <f t="shared" si="1"/>
        <v>-4.0333367630414667E-2</v>
      </c>
    </row>
    <row r="24" spans="1:9" x14ac:dyDescent="0.2">
      <c r="A24" s="2">
        <v>37802</v>
      </c>
      <c r="B24" s="1">
        <v>94.73</v>
      </c>
      <c r="C24" s="3">
        <v>0.81</v>
      </c>
      <c r="D24" s="11">
        <f t="shared" si="0"/>
        <v>6.7500000000000004E-4</v>
      </c>
      <c r="E24" s="1">
        <v>974.5</v>
      </c>
      <c r="F24" s="17">
        <v>33.86</v>
      </c>
      <c r="G24" s="31">
        <f t="shared" si="2"/>
        <v>-2.9799426934097397E-2</v>
      </c>
      <c r="H24" s="26">
        <f t="shared" si="3"/>
        <v>1.1311747613117453E-2</v>
      </c>
      <c r="I24" s="28">
        <f t="shared" si="1"/>
        <v>1.5653479146563825E-2</v>
      </c>
    </row>
    <row r="25" spans="1:9" x14ac:dyDescent="0.2">
      <c r="A25" s="2">
        <v>37833</v>
      </c>
      <c r="B25" s="1">
        <v>96.89</v>
      </c>
      <c r="C25" s="3">
        <v>0.91</v>
      </c>
      <c r="D25" s="11">
        <f t="shared" si="0"/>
        <v>7.5833333333333341E-4</v>
      </c>
      <c r="E25" s="1">
        <v>990.3</v>
      </c>
      <c r="F25" s="17">
        <v>37.08</v>
      </c>
      <c r="G25" s="31">
        <f t="shared" si="2"/>
        <v>9.5097460129946812E-2</v>
      </c>
      <c r="H25" s="26">
        <f t="shared" si="3"/>
        <v>1.6213442791174915E-2</v>
      </c>
      <c r="I25" s="28">
        <f t="shared" si="1"/>
        <v>2.2801646785601145E-2</v>
      </c>
    </row>
    <row r="26" spans="1:9" x14ac:dyDescent="0.2">
      <c r="A26" s="2">
        <v>37864</v>
      </c>
      <c r="B26" s="1">
        <v>98.1</v>
      </c>
      <c r="C26" s="3">
        <v>0.98</v>
      </c>
      <c r="D26" s="11">
        <f t="shared" si="0"/>
        <v>8.166666666666666E-4</v>
      </c>
      <c r="E26" s="4">
        <v>1008</v>
      </c>
      <c r="F26" s="17">
        <v>39.909999999999997</v>
      </c>
      <c r="G26" s="31">
        <f t="shared" si="2"/>
        <v>7.632146709816609E-2</v>
      </c>
      <c r="H26" s="26">
        <f t="shared" si="3"/>
        <v>1.787337170554382E-2</v>
      </c>
      <c r="I26" s="28">
        <f t="shared" si="1"/>
        <v>1.2488388894622704E-2</v>
      </c>
    </row>
    <row r="27" spans="1:9" x14ac:dyDescent="0.2">
      <c r="A27" s="2">
        <v>37894</v>
      </c>
      <c r="B27" s="1">
        <v>92.85</v>
      </c>
      <c r="C27" s="3">
        <v>0.87</v>
      </c>
      <c r="D27" s="11">
        <f t="shared" si="0"/>
        <v>7.2499999999999995E-4</v>
      </c>
      <c r="E27" s="1">
        <v>996</v>
      </c>
      <c r="F27" s="17">
        <v>35.85</v>
      </c>
      <c r="G27" s="31">
        <f t="shared" si="2"/>
        <v>-0.10172889000250553</v>
      </c>
      <c r="H27" s="26">
        <f t="shared" si="3"/>
        <v>-1.1904761904761904E-2</v>
      </c>
      <c r="I27" s="28">
        <f t="shared" si="1"/>
        <v>-5.3516819571865444E-2</v>
      </c>
    </row>
    <row r="28" spans="1:9" x14ac:dyDescent="0.2">
      <c r="A28" s="2">
        <v>37925</v>
      </c>
      <c r="B28" s="1">
        <v>92.73</v>
      </c>
      <c r="C28" s="3">
        <v>0.96</v>
      </c>
      <c r="D28" s="11">
        <f t="shared" si="0"/>
        <v>8.0000000000000004E-4</v>
      </c>
      <c r="E28" s="4">
        <v>1050.7</v>
      </c>
      <c r="F28" s="17">
        <v>37.74</v>
      </c>
      <c r="G28" s="31">
        <f t="shared" si="2"/>
        <v>5.2719665271966538E-2</v>
      </c>
      <c r="H28" s="26">
        <f t="shared" si="3"/>
        <v>5.4919678714859484E-2</v>
      </c>
      <c r="I28" s="28">
        <f t="shared" si="1"/>
        <v>-1.2924071082389913E-3</v>
      </c>
    </row>
    <row r="29" spans="1:9" x14ac:dyDescent="0.2">
      <c r="A29" s="2">
        <v>37955</v>
      </c>
      <c r="B29" s="1">
        <v>90.21</v>
      </c>
      <c r="C29" s="3">
        <v>0.96</v>
      </c>
      <c r="D29" s="11">
        <f t="shared" si="0"/>
        <v>8.0000000000000004E-4</v>
      </c>
      <c r="E29" s="4">
        <v>1058.2</v>
      </c>
      <c r="F29" s="17">
        <v>38.229999999999997</v>
      </c>
      <c r="G29" s="31">
        <f t="shared" si="2"/>
        <v>1.2983571807101083E-2</v>
      </c>
      <c r="H29" s="26">
        <f t="shared" si="3"/>
        <v>7.1380984105834204E-3</v>
      </c>
      <c r="I29" s="28">
        <f t="shared" si="1"/>
        <v>-2.7175671303785291E-2</v>
      </c>
    </row>
    <row r="30" spans="1:9" x14ac:dyDescent="0.2">
      <c r="A30" s="2">
        <v>37986</v>
      </c>
      <c r="B30" s="1">
        <v>86.92</v>
      </c>
      <c r="C30" s="3">
        <v>0.9</v>
      </c>
      <c r="D30" s="11">
        <f t="shared" si="0"/>
        <v>7.5000000000000002E-4</v>
      </c>
      <c r="E30" s="4">
        <v>1111.9000000000001</v>
      </c>
      <c r="F30" s="17">
        <v>39.61</v>
      </c>
      <c r="G30" s="31">
        <f t="shared" si="2"/>
        <v>3.609730578080049E-2</v>
      </c>
      <c r="H30" s="26">
        <f t="shared" si="3"/>
        <v>5.0746550746550788E-2</v>
      </c>
      <c r="I30" s="28">
        <f t="shared" si="1"/>
        <v>-3.6470457820640644E-2</v>
      </c>
    </row>
    <row r="31" spans="1:9" x14ac:dyDescent="0.2">
      <c r="A31" s="2">
        <v>38017</v>
      </c>
      <c r="B31" s="1">
        <v>87.2</v>
      </c>
      <c r="C31" s="3">
        <v>0.85</v>
      </c>
      <c r="D31" s="11">
        <f t="shared" si="0"/>
        <v>7.0833333333333328E-4</v>
      </c>
      <c r="E31" s="4">
        <v>1131.0999999999999</v>
      </c>
      <c r="F31" s="17">
        <v>42.75</v>
      </c>
      <c r="G31" s="31">
        <f t="shared" si="2"/>
        <v>7.9272910881090647E-2</v>
      </c>
      <c r="H31" s="26">
        <f t="shared" si="3"/>
        <v>1.7267739904667522E-2</v>
      </c>
      <c r="I31" s="28">
        <f t="shared" si="1"/>
        <v>3.2213529682466767E-3</v>
      </c>
    </row>
    <row r="32" spans="1:9" x14ac:dyDescent="0.2">
      <c r="A32" s="2">
        <v>38046</v>
      </c>
      <c r="B32" s="1">
        <v>87.31</v>
      </c>
      <c r="C32" s="3">
        <v>0.95</v>
      </c>
      <c r="D32" s="11">
        <f t="shared" si="0"/>
        <v>7.9166666666666665E-4</v>
      </c>
      <c r="E32" s="4">
        <v>1144.9000000000001</v>
      </c>
      <c r="F32" s="17">
        <v>42.45</v>
      </c>
      <c r="G32" s="31">
        <f t="shared" si="2"/>
        <v>-7.0175438596490562E-3</v>
      </c>
      <c r="H32" s="26">
        <f t="shared" si="3"/>
        <v>1.220051277517477E-2</v>
      </c>
      <c r="I32" s="28">
        <f t="shared" si="1"/>
        <v>1.2614678899082502E-3</v>
      </c>
    </row>
    <row r="33" spans="1:9" x14ac:dyDescent="0.2">
      <c r="A33" s="2">
        <v>38077</v>
      </c>
      <c r="B33" s="1">
        <v>87.61</v>
      </c>
      <c r="C33" s="3">
        <v>0.96</v>
      </c>
      <c r="D33" s="11">
        <f t="shared" si="0"/>
        <v>8.0000000000000004E-4</v>
      </c>
      <c r="E33" s="4">
        <v>1126.2</v>
      </c>
      <c r="F33" s="17">
        <v>42</v>
      </c>
      <c r="G33" s="31">
        <f t="shared" si="2"/>
        <v>-1.0600706713780985E-2</v>
      </c>
      <c r="H33" s="26">
        <f t="shared" si="3"/>
        <v>-1.6333304218709096E-2</v>
      </c>
      <c r="I33" s="28">
        <f t="shared" si="1"/>
        <v>3.4360325277745635E-3</v>
      </c>
    </row>
    <row r="34" spans="1:9" x14ac:dyDescent="0.2">
      <c r="A34" s="2">
        <v>38107</v>
      </c>
      <c r="B34" s="1">
        <v>90.48</v>
      </c>
      <c r="C34" s="3">
        <v>0.83</v>
      </c>
      <c r="D34" s="11">
        <f t="shared" si="0"/>
        <v>6.9166666666666671E-4</v>
      </c>
      <c r="E34" s="4">
        <v>1107.3</v>
      </c>
      <c r="F34" s="17">
        <v>43.81</v>
      </c>
      <c r="G34" s="31">
        <f t="shared" si="2"/>
        <v>4.3095238095238152E-2</v>
      </c>
      <c r="H34" s="26">
        <f t="shared" si="3"/>
        <v>-1.6782099094299494E-2</v>
      </c>
      <c r="I34" s="28">
        <f t="shared" si="1"/>
        <v>3.2758817486588342E-2</v>
      </c>
    </row>
    <row r="35" spans="1:9" x14ac:dyDescent="0.2">
      <c r="A35" s="2">
        <v>38138</v>
      </c>
      <c r="B35" s="1">
        <v>88.95</v>
      </c>
      <c r="C35" s="3">
        <v>0.94</v>
      </c>
      <c r="D35" s="11">
        <f t="shared" si="0"/>
        <v>7.8333333333333326E-4</v>
      </c>
      <c r="E35" s="4">
        <v>1120.7</v>
      </c>
      <c r="F35" s="17">
        <v>44.43</v>
      </c>
      <c r="G35" s="31">
        <f t="shared" si="2"/>
        <v>1.4152020086738128E-2</v>
      </c>
      <c r="H35" s="26">
        <f t="shared" si="3"/>
        <v>1.2101508173033588E-2</v>
      </c>
      <c r="I35" s="28">
        <f t="shared" si="1"/>
        <v>-1.6909814323607438E-2</v>
      </c>
    </row>
    <row r="36" spans="1:9" x14ac:dyDescent="0.2">
      <c r="A36" s="2">
        <v>38168</v>
      </c>
      <c r="B36" s="1">
        <v>88.8</v>
      </c>
      <c r="C36" s="3">
        <v>1.17</v>
      </c>
      <c r="D36" s="11">
        <f t="shared" si="0"/>
        <v>9.7499999999999985E-4</v>
      </c>
      <c r="E36" s="4">
        <v>1140.8</v>
      </c>
      <c r="F36" s="17">
        <v>41.88</v>
      </c>
      <c r="G36" s="31">
        <f t="shared" si="2"/>
        <v>-5.7393652937204526E-2</v>
      </c>
      <c r="H36" s="26">
        <f t="shared" si="3"/>
        <v>1.7935219059516293E-2</v>
      </c>
      <c r="I36" s="28">
        <f t="shared" si="1"/>
        <v>-1.6863406408095074E-3</v>
      </c>
    </row>
    <row r="37" spans="1:9" x14ac:dyDescent="0.2">
      <c r="A37" s="2">
        <v>38199</v>
      </c>
      <c r="B37" s="1">
        <v>89.96</v>
      </c>
      <c r="C37" s="3">
        <v>1.27</v>
      </c>
      <c r="D37" s="11">
        <f t="shared" si="0"/>
        <v>1.0583333333333334E-3</v>
      </c>
      <c r="E37" s="4">
        <v>1101.7</v>
      </c>
      <c r="F37" s="17">
        <v>41.98</v>
      </c>
      <c r="G37" s="31">
        <f t="shared" si="2"/>
        <v>2.387774594078183E-3</v>
      </c>
      <c r="H37" s="26">
        <f t="shared" si="3"/>
        <v>-3.4274193548387018E-2</v>
      </c>
      <c r="I37" s="28">
        <f t="shared" si="1"/>
        <v>1.3063063063063025E-2</v>
      </c>
    </row>
    <row r="38" spans="1:9" x14ac:dyDescent="0.2">
      <c r="A38" s="2">
        <v>38230</v>
      </c>
      <c r="B38" s="1">
        <v>88.94</v>
      </c>
      <c r="C38" s="3">
        <v>1.45</v>
      </c>
      <c r="D38" s="11">
        <f t="shared" si="0"/>
        <v>1.2083333333333334E-3</v>
      </c>
      <c r="E38" s="4">
        <v>1104.2</v>
      </c>
      <c r="F38" s="17">
        <v>39.770000000000003</v>
      </c>
      <c r="G38" s="31">
        <f t="shared" si="2"/>
        <v>-5.26441162458312E-2</v>
      </c>
      <c r="H38" s="26">
        <f t="shared" si="3"/>
        <v>2.2692202959063265E-3</v>
      </c>
      <c r="I38" s="28">
        <f t="shared" si="1"/>
        <v>-1.1338372610048867E-2</v>
      </c>
    </row>
    <row r="39" spans="1:9" x14ac:dyDescent="0.2">
      <c r="A39" s="2">
        <v>38260</v>
      </c>
      <c r="B39" s="1">
        <v>87.36</v>
      </c>
      <c r="C39" s="3">
        <v>1.47</v>
      </c>
      <c r="D39" s="11">
        <f t="shared" si="0"/>
        <v>1.225E-3</v>
      </c>
      <c r="E39" s="4">
        <v>1114.5999999999999</v>
      </c>
      <c r="F39" s="17">
        <v>41.32</v>
      </c>
      <c r="G39" s="31">
        <f t="shared" si="2"/>
        <v>3.8974101081216926E-2</v>
      </c>
      <c r="H39" s="26">
        <f t="shared" si="3"/>
        <v>9.4185835899292369E-3</v>
      </c>
      <c r="I39" s="28">
        <f t="shared" si="1"/>
        <v>-1.7764785248482105E-2</v>
      </c>
    </row>
    <row r="40" spans="1:9" x14ac:dyDescent="0.2">
      <c r="A40" s="2">
        <v>38291</v>
      </c>
      <c r="B40" s="1">
        <v>84.91</v>
      </c>
      <c r="C40" s="3">
        <v>1.73</v>
      </c>
      <c r="D40" s="11">
        <f t="shared" si="0"/>
        <v>1.4416666666666666E-3</v>
      </c>
      <c r="E40" s="4">
        <v>1130.2</v>
      </c>
      <c r="F40" s="17">
        <v>43.39</v>
      </c>
      <c r="G40" s="31">
        <f t="shared" si="2"/>
        <v>5.0096805421103591E-2</v>
      </c>
      <c r="H40" s="26">
        <f t="shared" si="3"/>
        <v>1.3996052395478322E-2</v>
      </c>
      <c r="I40" s="28">
        <f t="shared" si="1"/>
        <v>-2.8044871794871827E-2</v>
      </c>
    </row>
    <row r="41" spans="1:9" x14ac:dyDescent="0.2">
      <c r="A41" s="2">
        <v>38321</v>
      </c>
      <c r="B41" s="1">
        <v>81.819999999999993</v>
      </c>
      <c r="C41" s="3">
        <v>2.0699999999999998</v>
      </c>
      <c r="D41" s="11">
        <f t="shared" si="0"/>
        <v>1.725E-3</v>
      </c>
      <c r="E41" s="4">
        <v>1173.8</v>
      </c>
      <c r="F41" s="17">
        <v>45.53</v>
      </c>
      <c r="G41" s="31">
        <f t="shared" si="2"/>
        <v>4.9320119843281877E-2</v>
      </c>
      <c r="H41" s="26">
        <f t="shared" si="3"/>
        <v>3.8577242965846671E-2</v>
      </c>
      <c r="I41" s="28">
        <f t="shared" si="1"/>
        <v>-3.6391473324696777E-2</v>
      </c>
    </row>
    <row r="42" spans="1:9" x14ac:dyDescent="0.2">
      <c r="A42" s="2">
        <v>38352</v>
      </c>
      <c r="B42" s="1">
        <v>80.849999999999994</v>
      </c>
      <c r="C42" s="3">
        <v>1.89</v>
      </c>
      <c r="D42" s="11">
        <f t="shared" si="0"/>
        <v>1.575E-3</v>
      </c>
      <c r="E42" s="4">
        <v>1211.9000000000001</v>
      </c>
      <c r="F42" s="17">
        <v>44.35</v>
      </c>
      <c r="G42" s="31">
        <f t="shared" si="2"/>
        <v>-2.5916977816824064E-2</v>
      </c>
      <c r="H42" s="26">
        <f t="shared" si="3"/>
        <v>3.2458681206338505E-2</v>
      </c>
      <c r="I42" s="28">
        <f t="shared" si="1"/>
        <v>-1.1855292104619884E-2</v>
      </c>
    </row>
    <row r="43" spans="1:9" x14ac:dyDescent="0.2">
      <c r="A43" s="2">
        <v>38383</v>
      </c>
      <c r="B43" s="1">
        <v>83.6</v>
      </c>
      <c r="C43" s="3">
        <v>2.06</v>
      </c>
      <c r="D43" s="11">
        <f t="shared" si="0"/>
        <v>1.7166666666666667E-3</v>
      </c>
      <c r="E43" s="4">
        <v>1181.3</v>
      </c>
      <c r="F43" s="17">
        <v>43.48</v>
      </c>
      <c r="G43" s="31">
        <f t="shared" si="2"/>
        <v>-1.9616685456595367E-2</v>
      </c>
      <c r="H43" s="26">
        <f t="shared" si="3"/>
        <v>-2.5249608053469867E-2</v>
      </c>
      <c r="I43" s="28">
        <f t="shared" si="1"/>
        <v>3.4013605442176874E-2</v>
      </c>
    </row>
    <row r="44" spans="1:9" x14ac:dyDescent="0.2">
      <c r="A44" s="2">
        <v>38411</v>
      </c>
      <c r="B44" s="1">
        <v>82.51</v>
      </c>
      <c r="C44" s="3">
        <v>2.5099999999999998</v>
      </c>
      <c r="D44" s="11">
        <f t="shared" si="0"/>
        <v>2.0916666666666666E-3</v>
      </c>
      <c r="E44" s="4">
        <v>1203.5999999999999</v>
      </c>
      <c r="F44" s="17">
        <v>42.96</v>
      </c>
      <c r="G44" s="31">
        <f t="shared" si="2"/>
        <v>-1.1959521619135143E-2</v>
      </c>
      <c r="H44" s="26">
        <f t="shared" si="3"/>
        <v>1.8877507830356348E-2</v>
      </c>
      <c r="I44" s="28">
        <f t="shared" si="1"/>
        <v>-1.3038277511961594E-2</v>
      </c>
    </row>
    <row r="45" spans="1:9" x14ac:dyDescent="0.2">
      <c r="A45" s="2">
        <v>38442</v>
      </c>
      <c r="B45" s="1">
        <v>84.06</v>
      </c>
      <c r="C45" s="3">
        <v>2.63</v>
      </c>
      <c r="D45" s="11">
        <f t="shared" si="0"/>
        <v>2.1916666666666664E-3</v>
      </c>
      <c r="E45" s="4">
        <v>1180.5999999999999</v>
      </c>
      <c r="F45" s="17">
        <v>44.95</v>
      </c>
      <c r="G45" s="31">
        <f t="shared" si="2"/>
        <v>4.632216014897584E-2</v>
      </c>
      <c r="H45" s="26">
        <f t="shared" si="3"/>
        <v>-1.9109338650714524E-2</v>
      </c>
      <c r="I45" s="28">
        <f t="shared" si="1"/>
        <v>1.8785601745242964E-2</v>
      </c>
    </row>
    <row r="46" spans="1:9" x14ac:dyDescent="0.2">
      <c r="A46" s="2">
        <v>38472</v>
      </c>
      <c r="B46" s="1">
        <v>84.43</v>
      </c>
      <c r="C46" s="3">
        <v>2.7</v>
      </c>
      <c r="D46" s="11">
        <f t="shared" si="0"/>
        <v>2.2500000000000003E-3</v>
      </c>
      <c r="E46" s="4">
        <v>1156.8</v>
      </c>
      <c r="F46" s="17">
        <v>43.44</v>
      </c>
      <c r="G46" s="31">
        <f t="shared" si="2"/>
        <v>-3.3592880978865515E-2</v>
      </c>
      <c r="H46" s="26">
        <f t="shared" si="3"/>
        <v>-2.0159241063865792E-2</v>
      </c>
      <c r="I46" s="28">
        <f t="shared" si="1"/>
        <v>4.4016178919819718E-3</v>
      </c>
    </row>
    <row r="47" spans="1:9" x14ac:dyDescent="0.2">
      <c r="A47" s="2">
        <v>38503</v>
      </c>
      <c r="B47" s="1">
        <v>87.76</v>
      </c>
      <c r="C47" s="3">
        <v>2.8</v>
      </c>
      <c r="D47" s="11">
        <f t="shared" si="0"/>
        <v>2.3333333333333331E-3</v>
      </c>
      <c r="E47" s="4">
        <v>1191.5</v>
      </c>
      <c r="F47" s="17">
        <v>43.8</v>
      </c>
      <c r="G47" s="31">
        <f t="shared" si="2"/>
        <v>8.2872928176795455E-3</v>
      </c>
      <c r="H47" s="26">
        <f t="shared" si="3"/>
        <v>2.9996542185338905E-2</v>
      </c>
      <c r="I47" s="28">
        <f t="shared" si="1"/>
        <v>3.9440957005803599E-2</v>
      </c>
    </row>
    <row r="48" spans="1:9" x14ac:dyDescent="0.2">
      <c r="A48" s="2">
        <v>38533</v>
      </c>
      <c r="B48" s="1">
        <v>89.11</v>
      </c>
      <c r="C48" s="3">
        <v>2.99</v>
      </c>
      <c r="D48" s="11">
        <f t="shared" si="0"/>
        <v>2.4916666666666668E-3</v>
      </c>
      <c r="E48" s="4">
        <v>1191.3</v>
      </c>
      <c r="F48" s="17">
        <v>41.97</v>
      </c>
      <c r="G48" s="31">
        <f t="shared" si="2"/>
        <v>-4.1780821917808186E-2</v>
      </c>
      <c r="H48" s="26">
        <f t="shared" si="3"/>
        <v>-1.6785564414607257E-4</v>
      </c>
      <c r="I48" s="28">
        <f t="shared" si="1"/>
        <v>1.5382862351868667E-2</v>
      </c>
    </row>
    <row r="49" spans="1:9" x14ac:dyDescent="0.2">
      <c r="A49" s="2">
        <v>38564</v>
      </c>
      <c r="B49" s="1">
        <v>89.35</v>
      </c>
      <c r="C49" s="3">
        <v>3.25</v>
      </c>
      <c r="D49" s="11">
        <f t="shared" si="0"/>
        <v>2.708333333333333E-3</v>
      </c>
      <c r="E49" s="4">
        <v>1234.2</v>
      </c>
      <c r="F49" s="17">
        <v>44.41</v>
      </c>
      <c r="G49" s="31">
        <f t="shared" si="2"/>
        <v>5.8136764355491963E-2</v>
      </c>
      <c r="H49" s="26">
        <f t="shared" si="3"/>
        <v>3.6011080332410052E-2</v>
      </c>
      <c r="I49" s="28">
        <f t="shared" si="1"/>
        <v>2.6933004152170899E-3</v>
      </c>
    </row>
    <row r="50" spans="1:9" x14ac:dyDescent="0.2">
      <c r="A50" s="2">
        <v>38595</v>
      </c>
      <c r="B50" s="1">
        <v>87.58</v>
      </c>
      <c r="C50" s="3">
        <v>3.41</v>
      </c>
      <c r="D50" s="11">
        <f t="shared" si="0"/>
        <v>2.8416666666666668E-3</v>
      </c>
      <c r="E50" s="4">
        <v>1220.3</v>
      </c>
      <c r="F50" s="17">
        <v>42.75</v>
      </c>
      <c r="G50" s="31">
        <f t="shared" si="2"/>
        <v>-3.7378968700743004E-2</v>
      </c>
      <c r="H50" s="26">
        <f t="shared" si="3"/>
        <v>-1.1262356182142351E-2</v>
      </c>
      <c r="I50" s="28">
        <f t="shared" si="1"/>
        <v>-1.9809736989367614E-2</v>
      </c>
    </row>
    <row r="51" spans="1:9" x14ac:dyDescent="0.2">
      <c r="A51" s="2">
        <v>38625</v>
      </c>
      <c r="B51" s="1">
        <v>89.52</v>
      </c>
      <c r="C51" s="3">
        <v>3.15</v>
      </c>
      <c r="D51" s="11">
        <f t="shared" si="0"/>
        <v>2.6250000000000002E-3</v>
      </c>
      <c r="E51" s="4">
        <v>1228.8</v>
      </c>
      <c r="F51" s="17">
        <v>43.04</v>
      </c>
      <c r="G51" s="31">
        <f t="shared" si="2"/>
        <v>6.7836257309941321E-3</v>
      </c>
      <c r="H51" s="26">
        <f t="shared" si="3"/>
        <v>6.9655002868147181E-3</v>
      </c>
      <c r="I51" s="28">
        <f t="shared" si="1"/>
        <v>2.2151176067595316E-2</v>
      </c>
    </row>
    <row r="52" spans="1:9" x14ac:dyDescent="0.2">
      <c r="A52" s="2">
        <v>38656</v>
      </c>
      <c r="B52" s="1">
        <v>90.07</v>
      </c>
      <c r="C52" s="3">
        <v>3.77</v>
      </c>
      <c r="D52" s="11">
        <f t="shared" si="0"/>
        <v>3.1416666666666663E-3</v>
      </c>
      <c r="E52" s="4">
        <v>1207</v>
      </c>
      <c r="F52" s="17">
        <v>46.66</v>
      </c>
      <c r="G52" s="31">
        <f t="shared" si="2"/>
        <v>8.4107806691449752E-2</v>
      </c>
      <c r="H52" s="26">
        <f t="shared" si="3"/>
        <v>-1.774088541666663E-2</v>
      </c>
      <c r="I52" s="28">
        <f t="shared" si="1"/>
        <v>6.1438784629132843E-3</v>
      </c>
    </row>
    <row r="53" spans="1:9" x14ac:dyDescent="0.2">
      <c r="A53" s="2">
        <v>38686</v>
      </c>
      <c r="B53" s="1">
        <v>91.57</v>
      </c>
      <c r="C53" s="3">
        <v>4</v>
      </c>
      <c r="D53" s="11">
        <f t="shared" si="0"/>
        <v>3.3333333333333331E-3</v>
      </c>
      <c r="E53" s="4">
        <v>1249.5</v>
      </c>
      <c r="F53" s="17">
        <v>47</v>
      </c>
      <c r="G53" s="31">
        <f t="shared" si="2"/>
        <v>7.2867552507501808E-3</v>
      </c>
      <c r="H53" s="26">
        <f t="shared" si="3"/>
        <v>3.5211267605633804E-2</v>
      </c>
      <c r="I53" s="28">
        <f t="shared" si="1"/>
        <v>1.6653713778172534E-2</v>
      </c>
    </row>
    <row r="54" spans="1:9" x14ac:dyDescent="0.2">
      <c r="A54" s="2">
        <v>38717</v>
      </c>
      <c r="B54" s="1">
        <v>91.17</v>
      </c>
      <c r="C54" s="3">
        <v>4.01</v>
      </c>
      <c r="D54" s="11">
        <f t="shared" si="0"/>
        <v>3.3416666666666668E-3</v>
      </c>
      <c r="E54" s="4">
        <v>1248.3</v>
      </c>
      <c r="F54" s="17">
        <v>45.9</v>
      </c>
      <c r="G54" s="31">
        <f t="shared" si="2"/>
        <v>-2.3404255319148966E-2</v>
      </c>
      <c r="H54" s="26">
        <f t="shared" si="3"/>
        <v>-9.6038415366150095E-4</v>
      </c>
      <c r="I54" s="28">
        <f t="shared" si="1"/>
        <v>-4.3682428743037184E-3</v>
      </c>
    </row>
    <row r="55" spans="1:9" x14ac:dyDescent="0.2">
      <c r="A55" s="2">
        <v>38748</v>
      </c>
      <c r="B55" s="1">
        <v>88.96</v>
      </c>
      <c r="C55" s="3">
        <v>4.37</v>
      </c>
      <c r="D55" s="11">
        <f t="shared" si="0"/>
        <v>3.6416666666666667E-3</v>
      </c>
      <c r="E55" s="4">
        <v>1280.0999999999999</v>
      </c>
      <c r="F55" s="17">
        <v>43.94</v>
      </c>
      <c r="G55" s="31">
        <f t="shared" si="2"/>
        <v>-4.2701525054466248E-2</v>
      </c>
      <c r="H55" s="26">
        <f t="shared" si="3"/>
        <v>2.5474645517904314E-2</v>
      </c>
      <c r="I55" s="28">
        <f t="shared" si="1"/>
        <v>-2.4240429965997675E-2</v>
      </c>
    </row>
    <row r="56" spans="1:9" x14ac:dyDescent="0.2">
      <c r="A56" s="2">
        <v>38776</v>
      </c>
      <c r="B56" s="1">
        <v>90.11</v>
      </c>
      <c r="C56" s="3">
        <v>4.47</v>
      </c>
      <c r="D56" s="11">
        <f t="shared" si="0"/>
        <v>3.725E-3</v>
      </c>
      <c r="E56" s="4">
        <v>1280.7</v>
      </c>
      <c r="F56" s="17">
        <v>46.19</v>
      </c>
      <c r="G56" s="31">
        <f t="shared" si="2"/>
        <v>5.12061902594447E-2</v>
      </c>
      <c r="H56" s="26">
        <f t="shared" si="3"/>
        <v>4.6871338176715608E-4</v>
      </c>
      <c r="I56" s="28">
        <f t="shared" si="1"/>
        <v>1.292715827338136E-2</v>
      </c>
    </row>
    <row r="57" spans="1:9" x14ac:dyDescent="0.2">
      <c r="A57" s="2">
        <v>38807</v>
      </c>
      <c r="B57" s="1">
        <v>89.73</v>
      </c>
      <c r="C57" s="3">
        <v>4.6500000000000004</v>
      </c>
      <c r="D57" s="11">
        <f t="shared" si="0"/>
        <v>3.875E-3</v>
      </c>
      <c r="E57" s="4">
        <v>1294.8</v>
      </c>
      <c r="F57" s="17">
        <v>45.68</v>
      </c>
      <c r="G57" s="31">
        <f t="shared" si="2"/>
        <v>-1.1041350941762243E-2</v>
      </c>
      <c r="H57" s="26">
        <f t="shared" si="3"/>
        <v>1.1009604122745303E-2</v>
      </c>
      <c r="I57" s="28">
        <f t="shared" si="1"/>
        <v>-4.2170680279657695E-3</v>
      </c>
    </row>
    <row r="58" spans="1:9" x14ac:dyDescent="0.2">
      <c r="A58" s="2">
        <v>38837</v>
      </c>
      <c r="B58" s="1">
        <v>86.11</v>
      </c>
      <c r="C58" s="3">
        <v>4.5999999999999996</v>
      </c>
      <c r="D58" s="11">
        <f t="shared" si="0"/>
        <v>3.8333333333333331E-3</v>
      </c>
      <c r="E58" s="4">
        <v>1310.5999999999999</v>
      </c>
      <c r="F58" s="17">
        <v>44.08</v>
      </c>
      <c r="G58" s="31">
        <f t="shared" si="2"/>
        <v>-3.5026269702276736E-2</v>
      </c>
      <c r="H58" s="26">
        <f t="shared" si="3"/>
        <v>1.220265678097E-2</v>
      </c>
      <c r="I58" s="28">
        <f t="shared" si="1"/>
        <v>-4.034325197815674E-2</v>
      </c>
    </row>
    <row r="59" spans="1:9" x14ac:dyDescent="0.2">
      <c r="A59" s="2">
        <v>38868</v>
      </c>
      <c r="B59" s="1">
        <v>84.72</v>
      </c>
      <c r="C59" s="3">
        <v>4.75</v>
      </c>
      <c r="D59" s="11">
        <f t="shared" si="0"/>
        <v>3.9583333333333328E-3</v>
      </c>
      <c r="E59" s="4">
        <v>1270.0999999999999</v>
      </c>
      <c r="F59" s="17">
        <v>45.47</v>
      </c>
      <c r="G59" s="31">
        <f t="shared" si="2"/>
        <v>3.1533575317604368E-2</v>
      </c>
      <c r="H59" s="26">
        <f t="shared" si="3"/>
        <v>-3.0901877002899439E-2</v>
      </c>
      <c r="I59" s="28">
        <f t="shared" si="1"/>
        <v>-1.6142143769597033E-2</v>
      </c>
    </row>
    <row r="60" spans="1:9" x14ac:dyDescent="0.2">
      <c r="A60" s="2">
        <v>38898</v>
      </c>
      <c r="B60" s="1">
        <v>85.22</v>
      </c>
      <c r="C60" s="3">
        <v>4.54</v>
      </c>
      <c r="D60" s="11">
        <f t="shared" si="0"/>
        <v>3.7833333333333334E-3</v>
      </c>
      <c r="E60" s="4">
        <v>1270.2</v>
      </c>
      <c r="F60" s="17">
        <v>45.35</v>
      </c>
      <c r="G60" s="31">
        <f t="shared" si="2"/>
        <v>-2.6391027050802164E-3</v>
      </c>
      <c r="H60" s="26">
        <f t="shared" si="3"/>
        <v>7.8733957956173865E-5</v>
      </c>
      <c r="I60" s="28">
        <f t="shared" si="1"/>
        <v>5.9017941454202081E-3</v>
      </c>
    </row>
    <row r="61" spans="1:9" x14ac:dyDescent="0.2">
      <c r="A61" s="2">
        <v>38929</v>
      </c>
      <c r="B61" s="1">
        <v>85.3</v>
      </c>
      <c r="C61" s="3">
        <v>5.0199999999999996</v>
      </c>
      <c r="D61" s="11">
        <f t="shared" si="0"/>
        <v>4.1833333333333332E-3</v>
      </c>
      <c r="E61" s="4">
        <v>1276.7</v>
      </c>
      <c r="F61" s="17">
        <v>43.76</v>
      </c>
      <c r="G61" s="31">
        <f t="shared" si="2"/>
        <v>-3.5060639470782876E-2</v>
      </c>
      <c r="H61" s="26">
        <f t="shared" si="3"/>
        <v>5.1173043615178708E-3</v>
      </c>
      <c r="I61" s="28">
        <f t="shared" si="1"/>
        <v>9.3874677305794759E-4</v>
      </c>
    </row>
    <row r="62" spans="1:9" x14ac:dyDescent="0.2">
      <c r="A62" s="2">
        <v>38960</v>
      </c>
      <c r="B62" s="1">
        <v>85.05</v>
      </c>
      <c r="C62" s="3">
        <v>5.12</v>
      </c>
      <c r="D62" s="11">
        <f t="shared" si="0"/>
        <v>4.2666666666666669E-3</v>
      </c>
      <c r="E62" s="4">
        <v>1303.8</v>
      </c>
      <c r="F62" s="17">
        <v>47.2</v>
      </c>
      <c r="G62" s="31">
        <f t="shared" si="2"/>
        <v>7.8610603290676526E-2</v>
      </c>
      <c r="H62" s="26">
        <f t="shared" si="3"/>
        <v>2.1226599827680666E-2</v>
      </c>
      <c r="I62" s="28">
        <f t="shared" si="1"/>
        <v>-2.9308323563892145E-3</v>
      </c>
    </row>
    <row r="63" spans="1:9" x14ac:dyDescent="0.2">
      <c r="A63" s="2">
        <v>38990</v>
      </c>
      <c r="B63" s="1">
        <v>85.97</v>
      </c>
      <c r="C63" s="3">
        <v>4.5999999999999996</v>
      </c>
      <c r="D63" s="11">
        <f t="shared" si="0"/>
        <v>3.8333333333333331E-3</v>
      </c>
      <c r="E63" s="4">
        <v>1335.8</v>
      </c>
      <c r="F63" s="17">
        <v>47.34</v>
      </c>
      <c r="G63" s="31">
        <f t="shared" si="2"/>
        <v>2.966101694915266E-3</v>
      </c>
      <c r="H63" s="26">
        <f t="shared" si="3"/>
        <v>2.4543641662831725E-2</v>
      </c>
      <c r="I63" s="28">
        <f t="shared" si="1"/>
        <v>1.0817166372721948E-2</v>
      </c>
    </row>
    <row r="64" spans="1:9" x14ac:dyDescent="0.2">
      <c r="A64" s="2">
        <v>39021</v>
      </c>
      <c r="B64" s="1">
        <v>85.32</v>
      </c>
      <c r="C64" s="3">
        <v>5.18</v>
      </c>
      <c r="D64" s="11">
        <f t="shared" si="0"/>
        <v>4.3166666666666666E-3</v>
      </c>
      <c r="E64" s="4">
        <v>1377.9</v>
      </c>
      <c r="F64" s="17">
        <v>49.44</v>
      </c>
      <c r="G64" s="31">
        <f t="shared" si="2"/>
        <v>4.435994930291496E-2</v>
      </c>
      <c r="H64" s="26">
        <f t="shared" si="3"/>
        <v>3.1516694115885716E-2</v>
      </c>
      <c r="I64" s="28">
        <f t="shared" si="1"/>
        <v>-7.5607770152379397E-3</v>
      </c>
    </row>
    <row r="65" spans="1:9" x14ac:dyDescent="0.2">
      <c r="A65" s="2">
        <v>39051</v>
      </c>
      <c r="B65" s="1">
        <v>82.92</v>
      </c>
      <c r="C65" s="3">
        <v>5.22</v>
      </c>
      <c r="D65" s="11">
        <f t="shared" si="0"/>
        <v>4.3499999999999997E-3</v>
      </c>
      <c r="E65" s="4">
        <v>1400.6</v>
      </c>
      <c r="F65" s="17">
        <v>48.23</v>
      </c>
      <c r="G65" s="31">
        <f t="shared" si="2"/>
        <v>-2.4474110032362478E-2</v>
      </c>
      <c r="H65" s="26">
        <f t="shared" si="3"/>
        <v>1.6474345017780549E-2</v>
      </c>
      <c r="I65" s="28">
        <f t="shared" si="1"/>
        <v>-2.8129395218002715E-2</v>
      </c>
    </row>
    <row r="66" spans="1:9" x14ac:dyDescent="0.2">
      <c r="A66" s="2">
        <v>39082</v>
      </c>
      <c r="B66" s="1">
        <v>83.72</v>
      </c>
      <c r="C66" s="3">
        <v>4.75</v>
      </c>
      <c r="D66" s="11">
        <f t="shared" si="0"/>
        <v>3.9583333333333328E-3</v>
      </c>
      <c r="E66" s="4">
        <v>1418.3</v>
      </c>
      <c r="F66" s="17">
        <v>49.25</v>
      </c>
      <c r="G66" s="31">
        <f t="shared" si="2"/>
        <v>2.1148662658096687E-2</v>
      </c>
      <c r="H66" s="26">
        <f t="shared" si="3"/>
        <v>1.2637441096672888E-2</v>
      </c>
      <c r="I66" s="28">
        <f t="shared" si="1"/>
        <v>9.6478533526290055E-3</v>
      </c>
    </row>
    <row r="67" spans="1:9" x14ac:dyDescent="0.2">
      <c r="A67" s="2">
        <v>39113</v>
      </c>
      <c r="B67" s="1">
        <v>84.61</v>
      </c>
      <c r="C67" s="3">
        <v>5</v>
      </c>
      <c r="D67" s="11">
        <f t="shared" ref="D67:D130" si="7">C67/12/100</f>
        <v>4.1666666666666666E-3</v>
      </c>
      <c r="E67" s="4">
        <v>1438.2</v>
      </c>
      <c r="F67" s="17">
        <v>47.72</v>
      </c>
      <c r="G67" s="31">
        <f t="shared" si="2"/>
        <v>-3.1065989847715757E-2</v>
      </c>
      <c r="H67" s="26">
        <f t="shared" si="3"/>
        <v>1.4030882041881189E-2</v>
      </c>
      <c r="I67" s="28">
        <f t="shared" ref="I67:I130" si="8">(B67-B66)/B66</f>
        <v>1.0630673674151943E-2</v>
      </c>
    </row>
    <row r="68" spans="1:9" x14ac:dyDescent="0.2">
      <c r="A68" s="2">
        <v>39141</v>
      </c>
      <c r="B68" s="1">
        <v>83.57</v>
      </c>
      <c r="C68" s="3">
        <v>5.24</v>
      </c>
      <c r="D68" s="11">
        <f t="shared" si="7"/>
        <v>4.3666666666666671E-3</v>
      </c>
      <c r="E68" s="4">
        <v>1406.8</v>
      </c>
      <c r="F68" s="17">
        <v>49.75</v>
      </c>
      <c r="G68" s="31">
        <f t="shared" ref="G68:G131" si="9">(F68-F67)/F67</f>
        <v>4.2539815590947216E-2</v>
      </c>
      <c r="H68" s="26">
        <f t="shared" ref="H68:H131" si="10">(E68-E67)/E67</f>
        <v>-2.1832846613822898E-2</v>
      </c>
      <c r="I68" s="28">
        <f t="shared" si="8"/>
        <v>-1.2291691289445766E-2</v>
      </c>
    </row>
    <row r="69" spans="1:9" x14ac:dyDescent="0.2">
      <c r="A69" s="2">
        <v>39172</v>
      </c>
      <c r="B69" s="1">
        <v>82.93</v>
      </c>
      <c r="C69" s="3">
        <v>5.07</v>
      </c>
      <c r="D69" s="11">
        <f t="shared" si="7"/>
        <v>4.2250000000000005E-3</v>
      </c>
      <c r="E69" s="4">
        <v>1420.9</v>
      </c>
      <c r="F69" s="17">
        <v>48.4</v>
      </c>
      <c r="G69" s="31">
        <f t="shared" si="9"/>
        <v>-2.7135678391959829E-2</v>
      </c>
      <c r="H69" s="26">
        <f t="shared" si="10"/>
        <v>1.0022746659084545E-2</v>
      </c>
      <c r="I69" s="28">
        <f t="shared" si="8"/>
        <v>-7.6582505683856217E-3</v>
      </c>
    </row>
    <row r="70" spans="1:9" x14ac:dyDescent="0.2">
      <c r="A70" s="2">
        <v>39202</v>
      </c>
      <c r="B70" s="1">
        <v>81.45</v>
      </c>
      <c r="C70" s="3">
        <v>4.8</v>
      </c>
      <c r="D70" s="11">
        <f t="shared" si="7"/>
        <v>4.0000000000000001E-3</v>
      </c>
      <c r="E70" s="4">
        <v>1482.4</v>
      </c>
      <c r="F70" s="17">
        <v>44.76</v>
      </c>
      <c r="G70" s="31">
        <f t="shared" si="9"/>
        <v>-7.5206611570247953E-2</v>
      </c>
      <c r="H70" s="26">
        <f t="shared" si="10"/>
        <v>4.3282426631008515E-2</v>
      </c>
      <c r="I70" s="28">
        <f t="shared" si="8"/>
        <v>-1.7846376462076496E-2</v>
      </c>
    </row>
    <row r="71" spans="1:9" x14ac:dyDescent="0.2">
      <c r="A71" s="2">
        <v>39233</v>
      </c>
      <c r="B71" s="1">
        <v>82.3</v>
      </c>
      <c r="C71" s="3">
        <v>4.78</v>
      </c>
      <c r="D71" s="11">
        <f t="shared" si="7"/>
        <v>3.9833333333333335E-3</v>
      </c>
      <c r="E71" s="4">
        <v>1530.6</v>
      </c>
      <c r="F71" s="17">
        <v>49.7</v>
      </c>
      <c r="G71" s="31">
        <f t="shared" si="9"/>
        <v>0.11036639857015204</v>
      </c>
      <c r="H71" s="26">
        <f t="shared" si="10"/>
        <v>3.2514840798704675E-2</v>
      </c>
      <c r="I71" s="28">
        <f t="shared" si="8"/>
        <v>1.043585021485567E-2</v>
      </c>
    </row>
    <row r="72" spans="1:9" x14ac:dyDescent="0.2">
      <c r="A72" s="2">
        <v>39263</v>
      </c>
      <c r="B72" s="1">
        <v>81.92</v>
      </c>
      <c r="C72" s="3">
        <v>4.28</v>
      </c>
      <c r="D72" s="11">
        <f t="shared" si="7"/>
        <v>3.5666666666666668E-3</v>
      </c>
      <c r="E72" s="4">
        <v>1503.3</v>
      </c>
      <c r="F72" s="17">
        <v>48.47</v>
      </c>
      <c r="G72" s="31">
        <f t="shared" si="9"/>
        <v>-2.4748490945674124E-2</v>
      </c>
      <c r="H72" s="26">
        <f t="shared" si="10"/>
        <v>-1.7836142689141486E-2</v>
      </c>
      <c r="I72" s="28">
        <f t="shared" si="8"/>
        <v>-4.6172539489671384E-3</v>
      </c>
    </row>
    <row r="73" spans="1:9" x14ac:dyDescent="0.2">
      <c r="A73" s="2">
        <v>39294</v>
      </c>
      <c r="B73" s="1">
        <v>80.77</v>
      </c>
      <c r="C73" s="3">
        <v>5.13</v>
      </c>
      <c r="D73" s="11">
        <f t="shared" si="7"/>
        <v>4.2750000000000002E-3</v>
      </c>
      <c r="E73" s="4">
        <v>1455.3</v>
      </c>
      <c r="F73" s="17">
        <v>46.42</v>
      </c>
      <c r="G73" s="31">
        <f t="shared" si="9"/>
        <v>-4.2294202599546055E-2</v>
      </c>
      <c r="H73" s="26">
        <f t="shared" si="10"/>
        <v>-3.1929754540011977E-2</v>
      </c>
      <c r="I73" s="28">
        <f t="shared" si="8"/>
        <v>-1.4038085937500069E-2</v>
      </c>
    </row>
    <row r="74" spans="1:9" x14ac:dyDescent="0.2">
      <c r="A74" s="2">
        <v>39325</v>
      </c>
      <c r="B74" s="1">
        <v>80.790000000000006</v>
      </c>
      <c r="C74" s="3">
        <v>4.0199999999999996</v>
      </c>
      <c r="D74" s="11">
        <f t="shared" si="7"/>
        <v>3.3499999999999997E-3</v>
      </c>
      <c r="E74" s="4">
        <v>1474</v>
      </c>
      <c r="F74" s="17">
        <v>45.74</v>
      </c>
      <c r="G74" s="31">
        <f t="shared" si="9"/>
        <v>-1.4648858250753979E-2</v>
      </c>
      <c r="H74" s="26">
        <f t="shared" si="10"/>
        <v>1.2849584278155739E-2</v>
      </c>
      <c r="I74" s="28">
        <f t="shared" si="8"/>
        <v>2.4761668936498988E-4</v>
      </c>
    </row>
    <row r="75" spans="1:9" x14ac:dyDescent="0.2">
      <c r="A75" s="2">
        <v>39355</v>
      </c>
      <c r="B75" s="1">
        <v>77.72</v>
      </c>
      <c r="C75" s="3">
        <v>3.43</v>
      </c>
      <c r="D75" s="11">
        <f t="shared" si="7"/>
        <v>2.8583333333333334E-3</v>
      </c>
      <c r="E75" s="4">
        <v>1526.8</v>
      </c>
      <c r="F75" s="17">
        <v>45.93</v>
      </c>
      <c r="G75" s="31">
        <f t="shared" si="9"/>
        <v>4.1539134236991196E-3</v>
      </c>
      <c r="H75" s="26">
        <f t="shared" si="10"/>
        <v>3.5820895522388027E-2</v>
      </c>
      <c r="I75" s="28">
        <f t="shared" si="8"/>
        <v>-3.7999752444609569E-2</v>
      </c>
    </row>
    <row r="76" spans="1:9" x14ac:dyDescent="0.2">
      <c r="A76" s="2">
        <v>39386</v>
      </c>
      <c r="B76" s="1">
        <v>76.48</v>
      </c>
      <c r="C76" s="3">
        <v>4.01</v>
      </c>
      <c r="D76" s="11">
        <f t="shared" si="7"/>
        <v>3.3416666666666668E-3</v>
      </c>
      <c r="E76" s="4">
        <v>1549.4</v>
      </c>
      <c r="F76" s="17">
        <v>49.56</v>
      </c>
      <c r="G76" s="31">
        <f t="shared" si="9"/>
        <v>7.9033311561071254E-2</v>
      </c>
      <c r="H76" s="26">
        <f t="shared" si="10"/>
        <v>1.4802200681163308E-2</v>
      </c>
      <c r="I76" s="28">
        <f t="shared" si="8"/>
        <v>-1.5954709212557833E-2</v>
      </c>
    </row>
    <row r="77" spans="1:9" x14ac:dyDescent="0.2">
      <c r="A77" s="2">
        <v>39416</v>
      </c>
      <c r="B77" s="1">
        <v>76.150000000000006</v>
      </c>
      <c r="C77" s="3">
        <v>3.63</v>
      </c>
      <c r="D77" s="11">
        <f t="shared" si="7"/>
        <v>3.0249999999999999E-3</v>
      </c>
      <c r="E77" s="4">
        <v>1481.1</v>
      </c>
      <c r="F77" s="17">
        <v>45.06</v>
      </c>
      <c r="G77" s="31">
        <f t="shared" si="9"/>
        <v>-9.0799031476997569E-2</v>
      </c>
      <c r="H77" s="26">
        <f t="shared" si="10"/>
        <v>-4.4081579966438737E-2</v>
      </c>
      <c r="I77" s="28">
        <f t="shared" si="8"/>
        <v>-4.3148535564853331E-3</v>
      </c>
    </row>
    <row r="78" spans="1:9" x14ac:dyDescent="0.2">
      <c r="A78" s="2">
        <v>39447</v>
      </c>
      <c r="B78" s="1">
        <v>76.69</v>
      </c>
      <c r="C78" s="3">
        <v>2.76</v>
      </c>
      <c r="D78" s="11">
        <f t="shared" si="7"/>
        <v>2.3E-3</v>
      </c>
      <c r="E78" s="4">
        <v>1468.4</v>
      </c>
      <c r="F78" s="17">
        <v>44.53</v>
      </c>
      <c r="G78" s="31">
        <f t="shared" si="9"/>
        <v>-1.1762094984465182E-2</v>
      </c>
      <c r="H78" s="26">
        <f t="shared" si="10"/>
        <v>-8.5747079873066089E-3</v>
      </c>
      <c r="I78" s="28">
        <f t="shared" si="8"/>
        <v>7.0912672357188707E-3</v>
      </c>
    </row>
    <row r="79" spans="1:9" x14ac:dyDescent="0.2">
      <c r="A79" s="2">
        <v>39478</v>
      </c>
      <c r="B79" s="1">
        <v>75.180000000000007</v>
      </c>
      <c r="C79" s="3">
        <v>1.64</v>
      </c>
      <c r="D79" s="11">
        <f t="shared" si="7"/>
        <v>1.3666666666666666E-3</v>
      </c>
      <c r="E79" s="4">
        <v>1378.5</v>
      </c>
      <c r="F79" s="17">
        <v>40.28</v>
      </c>
      <c r="G79" s="31">
        <f t="shared" si="9"/>
        <v>-9.5441275544576681E-2</v>
      </c>
      <c r="H79" s="26">
        <f t="shared" si="10"/>
        <v>-6.1223099972759522E-2</v>
      </c>
      <c r="I79" s="28">
        <f t="shared" si="8"/>
        <v>-1.9689659668796336E-2</v>
      </c>
    </row>
    <row r="80" spans="1:9" x14ac:dyDescent="0.2">
      <c r="A80" s="2">
        <v>39507</v>
      </c>
      <c r="B80" s="1">
        <v>73.709999999999994</v>
      </c>
      <c r="C80" s="3">
        <v>2.0699999999999998</v>
      </c>
      <c r="D80" s="11">
        <f t="shared" si="7"/>
        <v>1.725E-3</v>
      </c>
      <c r="E80" s="4">
        <v>1330.6</v>
      </c>
      <c r="F80" s="17">
        <v>39.950000000000003</v>
      </c>
      <c r="G80" s="31">
        <f t="shared" si="9"/>
        <v>-8.1926514399205137E-3</v>
      </c>
      <c r="H80" s="26">
        <f t="shared" si="10"/>
        <v>-3.4747914399709895E-2</v>
      </c>
      <c r="I80" s="28">
        <f t="shared" si="8"/>
        <v>-1.9553072625698498E-2</v>
      </c>
    </row>
    <row r="81" spans="1:9" x14ac:dyDescent="0.2">
      <c r="A81" s="2">
        <v>39538</v>
      </c>
      <c r="B81" s="1">
        <v>71.8</v>
      </c>
      <c r="C81" s="3">
        <v>1.22</v>
      </c>
      <c r="D81" s="11">
        <f t="shared" si="7"/>
        <v>1.0166666666666666E-3</v>
      </c>
      <c r="E81" s="4">
        <v>1322.7</v>
      </c>
      <c r="F81" s="17">
        <v>42.39</v>
      </c>
      <c r="G81" s="31">
        <f t="shared" si="9"/>
        <v>6.1076345431789678E-2</v>
      </c>
      <c r="H81" s="26">
        <f t="shared" si="10"/>
        <v>-5.9371712009618702E-3</v>
      </c>
      <c r="I81" s="28">
        <f t="shared" si="8"/>
        <v>-2.5912359245692535E-2</v>
      </c>
    </row>
    <row r="82" spans="1:9" x14ac:dyDescent="0.2">
      <c r="A82" s="2">
        <v>39568</v>
      </c>
      <c r="B82" s="1">
        <v>72.510000000000005</v>
      </c>
      <c r="C82" s="3">
        <v>1.17</v>
      </c>
      <c r="D82" s="11">
        <f t="shared" si="7"/>
        <v>9.7499999999999985E-4</v>
      </c>
      <c r="E82" s="4">
        <v>1385.6</v>
      </c>
      <c r="F82" s="17">
        <v>44.2</v>
      </c>
      <c r="G82" s="31">
        <f t="shared" si="9"/>
        <v>4.2698749705119186E-2</v>
      </c>
      <c r="H82" s="26">
        <f t="shared" si="10"/>
        <v>4.7554245104709958E-2</v>
      </c>
      <c r="I82" s="28">
        <f t="shared" si="8"/>
        <v>9.8885793871867408E-3</v>
      </c>
    </row>
    <row r="83" spans="1:9" x14ac:dyDescent="0.2">
      <c r="A83" s="2">
        <v>39599</v>
      </c>
      <c r="B83" s="1">
        <v>72.88</v>
      </c>
      <c r="C83" s="3">
        <v>1.98</v>
      </c>
      <c r="D83" s="11">
        <f t="shared" si="7"/>
        <v>1.65E-3</v>
      </c>
      <c r="E83" s="4">
        <v>1400.4</v>
      </c>
      <c r="F83" s="17">
        <v>43.05</v>
      </c>
      <c r="G83" s="31">
        <f t="shared" si="9"/>
        <v>-2.6018099547511438E-2</v>
      </c>
      <c r="H83" s="26">
        <f t="shared" si="10"/>
        <v>1.0681293302540548E-2</v>
      </c>
      <c r="I83" s="28">
        <f t="shared" si="8"/>
        <v>5.1027444490413781E-3</v>
      </c>
    </row>
    <row r="84" spans="1:9" x14ac:dyDescent="0.2">
      <c r="A84" s="2">
        <v>39629</v>
      </c>
      <c r="B84" s="1">
        <v>72.459999999999994</v>
      </c>
      <c r="C84" s="3">
        <v>1.6</v>
      </c>
      <c r="D84" s="11">
        <f t="shared" si="7"/>
        <v>1.3333333333333333E-3</v>
      </c>
      <c r="E84" s="4">
        <v>1280</v>
      </c>
      <c r="F84" s="17">
        <v>41.9</v>
      </c>
      <c r="G84" s="31">
        <f t="shared" si="9"/>
        <v>-2.6713124274099852E-2</v>
      </c>
      <c r="H84" s="26">
        <f t="shared" si="10"/>
        <v>-8.5975435589831534E-2</v>
      </c>
      <c r="I84" s="28">
        <f t="shared" si="8"/>
        <v>-5.7628979143798265E-3</v>
      </c>
    </row>
    <row r="85" spans="1:9" x14ac:dyDescent="0.2">
      <c r="A85" s="2">
        <v>39660</v>
      </c>
      <c r="B85" s="1">
        <v>73.23</v>
      </c>
      <c r="C85" s="3">
        <v>1.55</v>
      </c>
      <c r="D85" s="11">
        <f t="shared" si="7"/>
        <v>1.2916666666666669E-3</v>
      </c>
      <c r="E85" s="4">
        <v>1267.4000000000001</v>
      </c>
      <c r="F85" s="17">
        <v>42.71</v>
      </c>
      <c r="G85" s="31">
        <f t="shared" si="9"/>
        <v>1.9331742243436808E-2</v>
      </c>
      <c r="H85" s="26">
        <f t="shared" si="10"/>
        <v>-9.8437499999999289E-3</v>
      </c>
      <c r="I85" s="28">
        <f t="shared" si="8"/>
        <v>1.062655258073434E-2</v>
      </c>
    </row>
    <row r="86" spans="1:9" x14ac:dyDescent="0.2">
      <c r="A86" s="2">
        <v>39691</v>
      </c>
      <c r="B86" s="1">
        <v>77.38</v>
      </c>
      <c r="C86" s="3">
        <v>1.63</v>
      </c>
      <c r="D86" s="11">
        <f t="shared" si="7"/>
        <v>1.3583333333333334E-3</v>
      </c>
      <c r="E86" s="4">
        <v>1282.8</v>
      </c>
      <c r="F86" s="17">
        <v>44.38</v>
      </c>
      <c r="G86" s="31">
        <f t="shared" si="9"/>
        <v>3.9100913135097205E-2</v>
      </c>
      <c r="H86" s="26">
        <f t="shared" si="10"/>
        <v>1.2150860028404499E-2</v>
      </c>
      <c r="I86" s="28">
        <f t="shared" si="8"/>
        <v>5.6670763348354379E-2</v>
      </c>
    </row>
    <row r="87" spans="1:9" x14ac:dyDescent="0.2">
      <c r="A87" s="2">
        <v>39721</v>
      </c>
      <c r="B87" s="1">
        <v>79.45</v>
      </c>
      <c r="C87" s="3">
        <v>1.02</v>
      </c>
      <c r="D87" s="11">
        <f t="shared" si="7"/>
        <v>8.5000000000000006E-4</v>
      </c>
      <c r="E87" s="4">
        <v>1166.4000000000001</v>
      </c>
      <c r="F87" s="17">
        <v>42.75</v>
      </c>
      <c r="G87" s="31">
        <f t="shared" si="9"/>
        <v>-3.6728255971158232E-2</v>
      </c>
      <c r="H87" s="26">
        <f t="shared" si="10"/>
        <v>-9.0739008419083153E-2</v>
      </c>
      <c r="I87" s="28">
        <f t="shared" si="8"/>
        <v>2.6751098475058251E-2</v>
      </c>
    </row>
    <row r="88" spans="1:9" x14ac:dyDescent="0.2">
      <c r="A88" s="2">
        <v>39752</v>
      </c>
      <c r="B88" s="1">
        <v>85.63</v>
      </c>
      <c r="C88" s="3">
        <v>0.12</v>
      </c>
      <c r="D88" s="11">
        <f t="shared" si="7"/>
        <v>1E-4</v>
      </c>
      <c r="E88" s="1">
        <v>968.8</v>
      </c>
      <c r="F88" s="17">
        <v>34.950000000000003</v>
      </c>
      <c r="G88" s="31">
        <f t="shared" si="9"/>
        <v>-0.18245614035087712</v>
      </c>
      <c r="H88" s="26">
        <f t="shared" si="10"/>
        <v>-0.16941015089163247</v>
      </c>
      <c r="I88" s="28">
        <f t="shared" si="8"/>
        <v>7.7784770295783415E-2</v>
      </c>
    </row>
    <row r="89" spans="1:9" x14ac:dyDescent="0.2">
      <c r="A89" s="2">
        <v>39782</v>
      </c>
      <c r="B89" s="1">
        <v>86.52</v>
      </c>
      <c r="C89" s="3">
        <v>0.02</v>
      </c>
      <c r="D89" s="11">
        <f t="shared" si="7"/>
        <v>1.6666666666666667E-5</v>
      </c>
      <c r="E89" s="1">
        <v>896.2</v>
      </c>
      <c r="F89" s="17">
        <v>41.06</v>
      </c>
      <c r="G89" s="31">
        <f t="shared" si="9"/>
        <v>0.17482117310443487</v>
      </c>
      <c r="H89" s="26">
        <f t="shared" si="10"/>
        <v>-7.4938067712634102E-2</v>
      </c>
      <c r="I89" s="28">
        <f t="shared" si="8"/>
        <v>1.0393553661100089E-2</v>
      </c>
    </row>
    <row r="90" spans="1:9" x14ac:dyDescent="0.2">
      <c r="A90" s="2">
        <v>39813</v>
      </c>
      <c r="B90" s="1">
        <v>81.150000000000006</v>
      </c>
      <c r="C90" s="3">
        <v>0.11</v>
      </c>
      <c r="D90" s="11">
        <f t="shared" si="7"/>
        <v>9.1666666666666668E-5</v>
      </c>
      <c r="E90" s="1">
        <v>903.2</v>
      </c>
      <c r="F90" s="17">
        <v>39.340000000000003</v>
      </c>
      <c r="G90" s="31">
        <f t="shared" si="9"/>
        <v>-4.1889917194349702E-2</v>
      </c>
      <c r="H90" s="26">
        <f t="shared" si="10"/>
        <v>7.8107565275608122E-3</v>
      </c>
      <c r="I90" s="28">
        <f t="shared" si="8"/>
        <v>-6.2066574202496422E-2</v>
      </c>
    </row>
    <row r="91" spans="1:9" x14ac:dyDescent="0.2">
      <c r="A91" s="2">
        <v>39844</v>
      </c>
      <c r="B91" s="1">
        <v>85.83</v>
      </c>
      <c r="C91" s="3">
        <v>0.15</v>
      </c>
      <c r="D91" s="11">
        <f t="shared" si="7"/>
        <v>1.25E-4</v>
      </c>
      <c r="E91" s="1">
        <v>825.9</v>
      </c>
      <c r="F91" s="17">
        <v>36.33</v>
      </c>
      <c r="G91" s="31">
        <f t="shared" si="9"/>
        <v>-7.6512455516014363E-2</v>
      </c>
      <c r="H91" s="26">
        <f t="shared" si="10"/>
        <v>-8.5584588131089531E-2</v>
      </c>
      <c r="I91" s="28">
        <f t="shared" si="8"/>
        <v>5.7670979667282712E-2</v>
      </c>
    </row>
    <row r="92" spans="1:9" x14ac:dyDescent="0.2">
      <c r="A92" s="2">
        <v>39872</v>
      </c>
      <c r="B92" s="1">
        <v>88.17</v>
      </c>
      <c r="C92" s="3">
        <v>0.16</v>
      </c>
      <c r="D92" s="11">
        <f t="shared" si="7"/>
        <v>1.3333333333333334E-4</v>
      </c>
      <c r="E92" s="1">
        <v>735.1</v>
      </c>
      <c r="F92" s="17">
        <v>34.15</v>
      </c>
      <c r="G92" s="31">
        <f t="shared" si="9"/>
        <v>-6.0005505092210289E-2</v>
      </c>
      <c r="H92" s="26">
        <f t="shared" si="10"/>
        <v>-0.10994067078338776</v>
      </c>
      <c r="I92" s="28">
        <f t="shared" si="8"/>
        <v>2.7263194687172358E-2</v>
      </c>
    </row>
    <row r="93" spans="1:9" x14ac:dyDescent="0.2">
      <c r="A93" s="2">
        <v>39903</v>
      </c>
      <c r="B93" s="1">
        <v>85.51</v>
      </c>
      <c r="C93" s="3">
        <v>0.17</v>
      </c>
      <c r="D93" s="11">
        <f t="shared" si="7"/>
        <v>1.4166666666666668E-4</v>
      </c>
      <c r="E93" s="1">
        <v>797.9</v>
      </c>
      <c r="F93" s="17">
        <v>35.159999999999997</v>
      </c>
      <c r="G93" s="31">
        <f t="shared" si="9"/>
        <v>2.9575402635431861E-2</v>
      </c>
      <c r="H93" s="26">
        <f t="shared" si="10"/>
        <v>8.5430553666167808E-2</v>
      </c>
      <c r="I93" s="28">
        <f t="shared" si="8"/>
        <v>-3.0168991720539828E-2</v>
      </c>
    </row>
    <row r="94" spans="1:9" x14ac:dyDescent="0.2">
      <c r="A94" s="2">
        <v>39933</v>
      </c>
      <c r="B94" s="1">
        <v>84.82</v>
      </c>
      <c r="C94" s="3">
        <v>0.04</v>
      </c>
      <c r="D94" s="11">
        <f t="shared" si="7"/>
        <v>3.3333333333333335E-5</v>
      </c>
      <c r="E94" s="1">
        <v>872.8</v>
      </c>
      <c r="F94" s="17">
        <v>35.200000000000003</v>
      </c>
      <c r="G94" s="31">
        <f t="shared" si="9"/>
        <v>1.1376564277589948E-3</v>
      </c>
      <c r="H94" s="26">
        <f t="shared" si="10"/>
        <v>9.3871412457701434E-2</v>
      </c>
      <c r="I94" s="28">
        <f t="shared" si="8"/>
        <v>-8.069231668810805E-3</v>
      </c>
    </row>
    <row r="95" spans="1:9" x14ac:dyDescent="0.2">
      <c r="A95" s="2">
        <v>39964</v>
      </c>
      <c r="B95" s="1">
        <v>79.23</v>
      </c>
      <c r="C95" s="3">
        <v>0.14000000000000001</v>
      </c>
      <c r="D95" s="11">
        <f t="shared" si="7"/>
        <v>1.1666666666666667E-4</v>
      </c>
      <c r="E95" s="1">
        <v>919.1</v>
      </c>
      <c r="F95" s="17">
        <v>38.01</v>
      </c>
      <c r="G95" s="31">
        <f t="shared" si="9"/>
        <v>7.9829545454545306E-2</v>
      </c>
      <c r="H95" s="26">
        <f t="shared" si="10"/>
        <v>5.3047662694775517E-2</v>
      </c>
      <c r="I95" s="28">
        <f t="shared" si="8"/>
        <v>-6.5904267861353338E-2</v>
      </c>
    </row>
    <row r="96" spans="1:9" x14ac:dyDescent="0.2">
      <c r="A96" s="2">
        <v>39994</v>
      </c>
      <c r="B96" s="1">
        <v>80.16</v>
      </c>
      <c r="C96" s="3">
        <v>0.17</v>
      </c>
      <c r="D96" s="11">
        <f t="shared" si="7"/>
        <v>1.4166666666666668E-4</v>
      </c>
      <c r="E96" s="1">
        <v>919.3</v>
      </c>
      <c r="F96" s="17">
        <v>35.44</v>
      </c>
      <c r="G96" s="31">
        <f t="shared" si="9"/>
        <v>-6.7613785845830054E-2</v>
      </c>
      <c r="H96" s="26">
        <f t="shared" si="10"/>
        <v>2.1760417800014339E-4</v>
      </c>
      <c r="I96" s="28">
        <f t="shared" si="8"/>
        <v>1.173797803862164E-2</v>
      </c>
    </row>
    <row r="97" spans="1:9" x14ac:dyDescent="0.2">
      <c r="A97" s="2">
        <v>40025</v>
      </c>
      <c r="B97" s="1">
        <v>78.349999999999994</v>
      </c>
      <c r="C97" s="3">
        <v>0.14000000000000001</v>
      </c>
      <c r="D97" s="11">
        <f t="shared" si="7"/>
        <v>1.1666666666666667E-4</v>
      </c>
      <c r="E97" s="1">
        <v>987.5</v>
      </c>
      <c r="F97" s="17">
        <v>37.25</v>
      </c>
      <c r="G97" s="31">
        <f t="shared" si="9"/>
        <v>5.107223476297975E-2</v>
      </c>
      <c r="H97" s="26">
        <f t="shared" si="10"/>
        <v>7.4186881322745618E-2</v>
      </c>
      <c r="I97" s="28">
        <f t="shared" si="8"/>
        <v>-2.2579840319361305E-2</v>
      </c>
    </row>
    <row r="98" spans="1:9" x14ac:dyDescent="0.2">
      <c r="A98" s="2">
        <v>40056</v>
      </c>
      <c r="B98" s="1">
        <v>78.17</v>
      </c>
      <c r="C98" s="3">
        <v>0.11</v>
      </c>
      <c r="D98" s="11">
        <f t="shared" si="7"/>
        <v>9.1666666666666668E-5</v>
      </c>
      <c r="E98" s="4">
        <v>1020.6</v>
      </c>
      <c r="F98" s="17">
        <v>38.35</v>
      </c>
      <c r="G98" s="31">
        <f t="shared" si="9"/>
        <v>2.9530201342281917E-2</v>
      </c>
      <c r="H98" s="26">
        <f t="shared" si="10"/>
        <v>3.3518987341772173E-2</v>
      </c>
      <c r="I98" s="28">
        <f t="shared" si="8"/>
        <v>-2.2973835354179019E-3</v>
      </c>
    </row>
    <row r="99" spans="1:9" x14ac:dyDescent="0.2">
      <c r="A99" s="2">
        <v>40086</v>
      </c>
      <c r="B99" s="1">
        <v>76.650000000000006</v>
      </c>
      <c r="C99" s="3">
        <v>0.06</v>
      </c>
      <c r="D99" s="11">
        <f t="shared" si="7"/>
        <v>5.0000000000000002E-5</v>
      </c>
      <c r="E99" s="4">
        <v>1057.0999999999999</v>
      </c>
      <c r="F99" s="17">
        <v>39.299999999999997</v>
      </c>
      <c r="G99" s="31">
        <f t="shared" si="9"/>
        <v>2.4771838331160253E-2</v>
      </c>
      <c r="H99" s="26">
        <f t="shared" si="10"/>
        <v>3.576327650401713E-2</v>
      </c>
      <c r="I99" s="28">
        <f t="shared" si="8"/>
        <v>-1.9444799795317845E-2</v>
      </c>
    </row>
    <row r="100" spans="1:9" x14ac:dyDescent="0.2">
      <c r="A100" s="2">
        <v>40117</v>
      </c>
      <c r="B100" s="1">
        <v>76.3</v>
      </c>
      <c r="C100" s="3">
        <v>0.01</v>
      </c>
      <c r="D100" s="11">
        <f t="shared" si="7"/>
        <v>8.3333333333333337E-6</v>
      </c>
      <c r="E100" s="4">
        <v>1036.2</v>
      </c>
      <c r="F100" s="17">
        <v>39.799999999999997</v>
      </c>
      <c r="G100" s="31">
        <f t="shared" si="9"/>
        <v>1.2722646310432571E-2</v>
      </c>
      <c r="H100" s="26">
        <f t="shared" si="10"/>
        <v>-1.9771071800207988E-2</v>
      </c>
      <c r="I100" s="28">
        <f t="shared" si="8"/>
        <v>-4.5662100456622112E-3</v>
      </c>
    </row>
    <row r="101" spans="1:9" x14ac:dyDescent="0.2">
      <c r="A101" s="2">
        <v>40147</v>
      </c>
      <c r="B101" s="1">
        <v>74.78</v>
      </c>
      <c r="C101" s="3">
        <v>0.08</v>
      </c>
      <c r="D101" s="11">
        <f t="shared" si="7"/>
        <v>6.666666666666667E-5</v>
      </c>
      <c r="E101" s="4">
        <v>1095.5999999999999</v>
      </c>
      <c r="F101" s="17">
        <v>43.45</v>
      </c>
      <c r="G101" s="31">
        <f t="shared" si="9"/>
        <v>9.1708542713567986E-2</v>
      </c>
      <c r="H101" s="26">
        <f t="shared" si="10"/>
        <v>5.7324840764331073E-2</v>
      </c>
      <c r="I101" s="28">
        <f t="shared" si="8"/>
        <v>-1.9921363040629043E-2</v>
      </c>
    </row>
    <row r="102" spans="1:9" x14ac:dyDescent="0.2">
      <c r="A102" s="2">
        <v>40178</v>
      </c>
      <c r="B102" s="1">
        <v>77.86</v>
      </c>
      <c r="C102" s="3">
        <v>0.04</v>
      </c>
      <c r="D102" s="11">
        <f t="shared" si="7"/>
        <v>3.3333333333333335E-5</v>
      </c>
      <c r="E102" s="4">
        <v>1115.0999999999999</v>
      </c>
      <c r="F102" s="17">
        <v>42.82</v>
      </c>
      <c r="G102" s="31">
        <f t="shared" si="9"/>
        <v>-1.4499424626006962E-2</v>
      </c>
      <c r="H102" s="26">
        <f t="shared" si="10"/>
        <v>1.7798466593647318E-2</v>
      </c>
      <c r="I102" s="28">
        <f t="shared" si="8"/>
        <v>4.1187483284300594E-2</v>
      </c>
    </row>
    <row r="103" spans="1:9" x14ac:dyDescent="0.2">
      <c r="A103" s="2">
        <v>40209</v>
      </c>
      <c r="B103" s="1">
        <v>79.459999999999994</v>
      </c>
      <c r="C103" s="3">
        <v>0.02</v>
      </c>
      <c r="D103" s="11">
        <f t="shared" si="7"/>
        <v>1.6666666666666667E-5</v>
      </c>
      <c r="E103" s="4">
        <v>1073.9000000000001</v>
      </c>
      <c r="F103" s="17">
        <v>40.79</v>
      </c>
      <c r="G103" s="31">
        <f t="shared" si="9"/>
        <v>-4.7407753386268126E-2</v>
      </c>
      <c r="H103" s="26">
        <f t="shared" si="10"/>
        <v>-3.6947358981257124E-2</v>
      </c>
      <c r="I103" s="28">
        <f t="shared" si="8"/>
        <v>2.0549704597996332E-2</v>
      </c>
    </row>
    <row r="104" spans="1:9" x14ac:dyDescent="0.2">
      <c r="A104" s="2">
        <v>40237</v>
      </c>
      <c r="B104" s="1">
        <v>80.36</v>
      </c>
      <c r="C104" s="3">
        <v>0.09</v>
      </c>
      <c r="D104" s="11">
        <f t="shared" si="7"/>
        <v>7.4999999999999993E-5</v>
      </c>
      <c r="E104" s="4">
        <v>1104.5</v>
      </c>
      <c r="F104" s="17">
        <v>41.61</v>
      </c>
      <c r="G104" s="31">
        <f t="shared" si="9"/>
        <v>2.0102966413336608E-2</v>
      </c>
      <c r="H104" s="26">
        <f t="shared" si="10"/>
        <v>2.8494273209795983E-2</v>
      </c>
      <c r="I104" s="28">
        <f t="shared" si="8"/>
        <v>1.1326453561540471E-2</v>
      </c>
    </row>
    <row r="105" spans="1:9" x14ac:dyDescent="0.2">
      <c r="A105" s="2">
        <v>40268</v>
      </c>
      <c r="B105" s="1">
        <v>81.069999999999993</v>
      </c>
      <c r="C105" s="3">
        <v>0.15</v>
      </c>
      <c r="D105" s="11">
        <f t="shared" si="7"/>
        <v>1.25E-4</v>
      </c>
      <c r="E105" s="4">
        <v>1169.4000000000001</v>
      </c>
      <c r="F105" s="17">
        <v>44.47</v>
      </c>
      <c r="G105" s="31">
        <f t="shared" si="9"/>
        <v>6.8733477529440021E-2</v>
      </c>
      <c r="H105" s="26">
        <f t="shared" si="10"/>
        <v>5.8759619737437839E-2</v>
      </c>
      <c r="I105" s="28">
        <f t="shared" si="8"/>
        <v>8.8352414136385476E-3</v>
      </c>
    </row>
    <row r="106" spans="1:9" x14ac:dyDescent="0.2">
      <c r="A106" s="2">
        <v>40298</v>
      </c>
      <c r="B106" s="1">
        <v>81.87</v>
      </c>
      <c r="C106" s="3">
        <v>0.14000000000000001</v>
      </c>
      <c r="D106" s="11">
        <f t="shared" si="7"/>
        <v>1.1666666666666667E-4</v>
      </c>
      <c r="E106" s="4">
        <v>1186.7</v>
      </c>
      <c r="F106" s="17">
        <v>43.37</v>
      </c>
      <c r="G106" s="31">
        <f t="shared" si="9"/>
        <v>-2.4735776928266281E-2</v>
      </c>
      <c r="H106" s="26">
        <f t="shared" si="10"/>
        <v>1.4793911407559392E-2</v>
      </c>
      <c r="I106" s="28">
        <f t="shared" si="8"/>
        <v>9.8680152954238494E-3</v>
      </c>
    </row>
    <row r="107" spans="1:9" x14ac:dyDescent="0.2">
      <c r="A107" s="2">
        <v>40329</v>
      </c>
      <c r="B107" s="1">
        <v>86.59</v>
      </c>
      <c r="C107" s="3">
        <v>0.15</v>
      </c>
      <c r="D107" s="11">
        <f t="shared" si="7"/>
        <v>1.25E-4</v>
      </c>
      <c r="E107" s="4">
        <v>1089.4000000000001</v>
      </c>
      <c r="F107" s="17">
        <v>40.880000000000003</v>
      </c>
      <c r="G107" s="31">
        <f t="shared" si="9"/>
        <v>-5.7412958266082434E-2</v>
      </c>
      <c r="H107" s="26">
        <f t="shared" si="10"/>
        <v>-8.1992078874188884E-2</v>
      </c>
      <c r="I107" s="28">
        <f t="shared" si="8"/>
        <v>5.7652375717601061E-2</v>
      </c>
    </row>
    <row r="108" spans="1:9" x14ac:dyDescent="0.2">
      <c r="A108" s="2">
        <v>40359</v>
      </c>
      <c r="B108" s="1">
        <v>86.02</v>
      </c>
      <c r="C108" s="3">
        <v>0.17</v>
      </c>
      <c r="D108" s="11">
        <f t="shared" si="7"/>
        <v>1.4166666666666668E-4</v>
      </c>
      <c r="E108" s="4">
        <v>1030.7</v>
      </c>
      <c r="F108" s="17">
        <v>40.26</v>
      </c>
      <c r="G108" s="31">
        <f t="shared" si="9"/>
        <v>-1.5166340508806372E-2</v>
      </c>
      <c r="H108" s="26">
        <f t="shared" si="10"/>
        <v>-5.388287130530571E-2</v>
      </c>
      <c r="I108" s="28">
        <f t="shared" si="8"/>
        <v>-6.5827462755515343E-3</v>
      </c>
    </row>
    <row r="109" spans="1:9" x14ac:dyDescent="0.2">
      <c r="A109" s="2">
        <v>40390</v>
      </c>
      <c r="B109" s="1">
        <v>81.540000000000006</v>
      </c>
      <c r="C109" s="3">
        <v>0.14000000000000001</v>
      </c>
      <c r="D109" s="11">
        <f t="shared" si="7"/>
        <v>1.1666666666666667E-4</v>
      </c>
      <c r="E109" s="4">
        <v>1101.5999999999999</v>
      </c>
      <c r="F109" s="17">
        <v>41.27</v>
      </c>
      <c r="G109" s="31">
        <f t="shared" si="9"/>
        <v>2.5086934923000626E-2</v>
      </c>
      <c r="H109" s="26">
        <f t="shared" si="10"/>
        <v>6.8788202192684444E-2</v>
      </c>
      <c r="I109" s="28">
        <f t="shared" si="8"/>
        <v>-5.2080911415949664E-2</v>
      </c>
    </row>
    <row r="110" spans="1:9" x14ac:dyDescent="0.2">
      <c r="A110" s="2">
        <v>40421</v>
      </c>
      <c r="B110" s="1">
        <v>83.2</v>
      </c>
      <c r="C110" s="3">
        <v>0.16</v>
      </c>
      <c r="D110" s="11">
        <f t="shared" si="7"/>
        <v>1.3333333333333334E-4</v>
      </c>
      <c r="E110" s="4">
        <v>1049.3</v>
      </c>
      <c r="F110" s="17">
        <v>38.61</v>
      </c>
      <c r="G110" s="31">
        <f t="shared" si="9"/>
        <v>-6.4453598255391403E-2</v>
      </c>
      <c r="H110" s="26">
        <f t="shared" si="10"/>
        <v>-4.747639796659401E-2</v>
      </c>
      <c r="I110" s="28">
        <f t="shared" si="8"/>
        <v>2.0358106450821638E-2</v>
      </c>
    </row>
    <row r="111" spans="1:9" x14ac:dyDescent="0.2">
      <c r="A111" s="2">
        <v>40451</v>
      </c>
      <c r="B111" s="1">
        <v>78.72</v>
      </c>
      <c r="C111" s="3">
        <v>0.14000000000000001</v>
      </c>
      <c r="D111" s="11">
        <f t="shared" si="7"/>
        <v>1.1666666666666667E-4</v>
      </c>
      <c r="E111" s="4">
        <v>1141.2</v>
      </c>
      <c r="F111" s="17">
        <v>42.03</v>
      </c>
      <c r="G111" s="31">
        <f t="shared" si="9"/>
        <v>8.8578088578088618E-2</v>
      </c>
      <c r="H111" s="26">
        <f t="shared" si="10"/>
        <v>8.7582197655580007E-2</v>
      </c>
      <c r="I111" s="28">
        <f t="shared" si="8"/>
        <v>-5.3846153846153891E-2</v>
      </c>
    </row>
    <row r="112" spans="1:9" x14ac:dyDescent="0.2">
      <c r="A112" s="2">
        <v>40482</v>
      </c>
      <c r="B112" s="1">
        <v>77.27</v>
      </c>
      <c r="C112" s="3">
        <v>0.14000000000000001</v>
      </c>
      <c r="D112" s="11">
        <f t="shared" si="7"/>
        <v>1.1666666666666667E-4</v>
      </c>
      <c r="E112" s="4">
        <v>1183.3</v>
      </c>
      <c r="F112" s="17">
        <v>44.49</v>
      </c>
      <c r="G112" s="31">
        <f t="shared" si="9"/>
        <v>5.8529621698786602E-2</v>
      </c>
      <c r="H112" s="26">
        <f t="shared" si="10"/>
        <v>3.6890991938310469E-2</v>
      </c>
      <c r="I112" s="28">
        <f t="shared" si="8"/>
        <v>-1.8419715447154508E-2</v>
      </c>
    </row>
    <row r="113" spans="1:9" x14ac:dyDescent="0.2">
      <c r="A113" s="2">
        <v>40512</v>
      </c>
      <c r="B113" s="1">
        <v>81.19</v>
      </c>
      <c r="C113" s="3">
        <v>0.18</v>
      </c>
      <c r="D113" s="11">
        <f t="shared" si="7"/>
        <v>1.4999999999999999E-4</v>
      </c>
      <c r="E113" s="4">
        <v>1180.5</v>
      </c>
      <c r="F113" s="17">
        <v>44.57</v>
      </c>
      <c r="G113" s="31">
        <f t="shared" si="9"/>
        <v>1.7981568891885433E-3</v>
      </c>
      <c r="H113" s="26">
        <f t="shared" si="10"/>
        <v>-2.3662638384179453E-3</v>
      </c>
      <c r="I113" s="28">
        <f t="shared" si="8"/>
        <v>5.0731202277727476E-2</v>
      </c>
    </row>
    <row r="114" spans="1:9" x14ac:dyDescent="0.2">
      <c r="A114" s="2">
        <v>40543</v>
      </c>
      <c r="B114" s="1">
        <v>79.03</v>
      </c>
      <c r="C114" s="3">
        <v>7.0000000000000007E-2</v>
      </c>
      <c r="D114" s="11">
        <f t="shared" si="7"/>
        <v>5.8333333333333333E-5</v>
      </c>
      <c r="E114" s="4">
        <v>1257.5999999999999</v>
      </c>
      <c r="F114" s="17">
        <v>46.28</v>
      </c>
      <c r="G114" s="31">
        <f t="shared" si="9"/>
        <v>3.8366614314561384E-2</v>
      </c>
      <c r="H114" s="26">
        <f t="shared" si="10"/>
        <v>6.5311308767471335E-2</v>
      </c>
      <c r="I114" s="28">
        <f t="shared" si="8"/>
        <v>-2.6604261608572443E-2</v>
      </c>
    </row>
    <row r="115" spans="1:9" x14ac:dyDescent="0.2">
      <c r="A115" s="2">
        <v>40574</v>
      </c>
      <c r="B115" s="1">
        <v>77.73</v>
      </c>
      <c r="C115" s="3">
        <v>0.15</v>
      </c>
      <c r="D115" s="11">
        <f t="shared" si="7"/>
        <v>1.25E-4</v>
      </c>
      <c r="E115" s="4">
        <v>1286.0999999999999</v>
      </c>
      <c r="F115" s="17">
        <v>47.9</v>
      </c>
      <c r="G115" s="31">
        <f t="shared" si="9"/>
        <v>3.5004321521175399E-2</v>
      </c>
      <c r="H115" s="26">
        <f t="shared" si="10"/>
        <v>2.2662213740458018E-2</v>
      </c>
      <c r="I115" s="28">
        <f t="shared" si="8"/>
        <v>-1.6449449576110303E-2</v>
      </c>
    </row>
    <row r="116" spans="1:9" x14ac:dyDescent="0.2">
      <c r="A116" s="2">
        <v>40602</v>
      </c>
      <c r="B116" s="1">
        <v>76.89</v>
      </c>
      <c r="C116" s="3">
        <v>0.13</v>
      </c>
      <c r="D116" s="11">
        <f t="shared" si="7"/>
        <v>1.0833333333333334E-4</v>
      </c>
      <c r="E116" s="4">
        <v>1327.2</v>
      </c>
      <c r="F116" s="17">
        <v>50</v>
      </c>
      <c r="G116" s="31">
        <f t="shared" si="9"/>
        <v>4.3841336116910261E-2</v>
      </c>
      <c r="H116" s="26">
        <f t="shared" si="10"/>
        <v>3.1957079542803933E-2</v>
      </c>
      <c r="I116" s="28">
        <f t="shared" si="8"/>
        <v>-1.0806638363566235E-2</v>
      </c>
    </row>
    <row r="117" spans="1:9" x14ac:dyDescent="0.2">
      <c r="A117" s="2">
        <v>40633</v>
      </c>
      <c r="B117" s="1">
        <v>75.86</v>
      </c>
      <c r="C117" s="3">
        <v>0.05</v>
      </c>
      <c r="D117" s="11">
        <f t="shared" si="7"/>
        <v>4.1666666666666665E-5</v>
      </c>
      <c r="E117" s="4">
        <v>1325.8</v>
      </c>
      <c r="F117" s="17">
        <v>51.31</v>
      </c>
      <c r="G117" s="31">
        <f t="shared" si="9"/>
        <v>2.6200000000000046E-2</v>
      </c>
      <c r="H117" s="26">
        <f t="shared" si="10"/>
        <v>-1.0548523206751739E-3</v>
      </c>
      <c r="I117" s="28">
        <f t="shared" si="8"/>
        <v>-1.3395760176876071E-2</v>
      </c>
    </row>
    <row r="118" spans="1:9" x14ac:dyDescent="0.2">
      <c r="A118" s="2">
        <v>40663</v>
      </c>
      <c r="B118" s="1">
        <v>72.930000000000007</v>
      </c>
      <c r="C118" s="3">
        <v>0.02</v>
      </c>
      <c r="D118" s="11">
        <f t="shared" si="7"/>
        <v>1.6666666666666667E-5</v>
      </c>
      <c r="E118" s="4">
        <v>1363.6</v>
      </c>
      <c r="F118" s="17">
        <v>54.36</v>
      </c>
      <c r="G118" s="31">
        <f t="shared" si="9"/>
        <v>5.9442603780939331E-2</v>
      </c>
      <c r="H118" s="26">
        <f t="shared" si="10"/>
        <v>2.8511087645195322E-2</v>
      </c>
      <c r="I118" s="28">
        <f t="shared" si="8"/>
        <v>-3.8623780648563047E-2</v>
      </c>
    </row>
    <row r="119" spans="1:9" x14ac:dyDescent="0.2">
      <c r="A119" s="2">
        <v>40694</v>
      </c>
      <c r="B119" s="1">
        <v>74.64</v>
      </c>
      <c r="C119" s="3">
        <v>0.04</v>
      </c>
      <c r="D119" s="11">
        <f t="shared" si="7"/>
        <v>3.3333333333333335E-5</v>
      </c>
      <c r="E119" s="4">
        <v>1345.2</v>
      </c>
      <c r="F119" s="17">
        <v>55.11</v>
      </c>
      <c r="G119" s="31">
        <f t="shared" si="9"/>
        <v>1.379690949227373E-2</v>
      </c>
      <c r="H119" s="26">
        <f t="shared" si="10"/>
        <v>-1.3493693165150972E-2</v>
      </c>
      <c r="I119" s="28">
        <f t="shared" si="8"/>
        <v>2.344714109419983E-2</v>
      </c>
    </row>
    <row r="120" spans="1:9" x14ac:dyDescent="0.2">
      <c r="A120" s="2">
        <v>40724</v>
      </c>
      <c r="B120" s="1">
        <v>74.3</v>
      </c>
      <c r="C120" s="3">
        <v>0.01</v>
      </c>
      <c r="D120" s="11">
        <f t="shared" si="7"/>
        <v>8.3333333333333337E-6</v>
      </c>
      <c r="E120" s="4">
        <v>1320.6</v>
      </c>
      <c r="F120" s="17">
        <v>52.68</v>
      </c>
      <c r="G120" s="31">
        <f t="shared" si="9"/>
        <v>-4.409363091997822E-2</v>
      </c>
      <c r="H120" s="26">
        <f t="shared" si="10"/>
        <v>-1.8287243532560313E-2</v>
      </c>
      <c r="I120" s="28">
        <f t="shared" si="8"/>
        <v>-4.5551982851018673E-3</v>
      </c>
    </row>
    <row r="121" spans="1:9" x14ac:dyDescent="0.2">
      <c r="A121" s="2">
        <v>40755</v>
      </c>
      <c r="B121" s="1">
        <v>73.900000000000006</v>
      </c>
      <c r="C121" s="3">
        <v>0.16</v>
      </c>
      <c r="D121" s="11">
        <f t="shared" si="7"/>
        <v>1.3333333333333334E-4</v>
      </c>
      <c r="E121" s="4">
        <v>1292.3</v>
      </c>
      <c r="F121" s="17">
        <v>51.49</v>
      </c>
      <c r="G121" s="31">
        <f t="shared" si="9"/>
        <v>-2.2589217919514005E-2</v>
      </c>
      <c r="H121" s="26">
        <f t="shared" si="10"/>
        <v>-2.142965318794484E-2</v>
      </c>
      <c r="I121" s="28">
        <f t="shared" si="8"/>
        <v>-5.3835800807535868E-3</v>
      </c>
    </row>
    <row r="122" spans="1:9" x14ac:dyDescent="0.2">
      <c r="A122" s="2">
        <v>40786</v>
      </c>
      <c r="B122" s="1">
        <v>74.12</v>
      </c>
      <c r="C122" s="3">
        <v>0.01</v>
      </c>
      <c r="D122" s="11">
        <f t="shared" si="7"/>
        <v>8.3333333333333337E-6</v>
      </c>
      <c r="E122" s="4">
        <v>1218.9000000000001</v>
      </c>
      <c r="F122" s="17">
        <v>50.03</v>
      </c>
      <c r="G122" s="31">
        <f t="shared" si="9"/>
        <v>-2.8355020392309201E-2</v>
      </c>
      <c r="H122" s="26">
        <f t="shared" si="10"/>
        <v>-5.6797957130697102E-2</v>
      </c>
      <c r="I122" s="28">
        <f t="shared" si="8"/>
        <v>2.9769959404600654E-3</v>
      </c>
    </row>
    <row r="123" spans="1:9" x14ac:dyDescent="0.2">
      <c r="A123" s="2">
        <v>40816</v>
      </c>
      <c r="B123" s="1">
        <v>78.55</v>
      </c>
      <c r="C123" s="3">
        <v>0.02</v>
      </c>
      <c r="D123" s="11">
        <f t="shared" si="7"/>
        <v>1.6666666666666667E-5</v>
      </c>
      <c r="E123" s="4">
        <v>1131.4000000000001</v>
      </c>
      <c r="F123" s="17">
        <v>47.15</v>
      </c>
      <c r="G123" s="31">
        <f t="shared" si="9"/>
        <v>-5.7565460723565907E-2</v>
      </c>
      <c r="H123" s="26">
        <f t="shared" si="10"/>
        <v>-7.1786036590368363E-2</v>
      </c>
      <c r="I123" s="28">
        <f t="shared" si="8"/>
        <v>5.9767943874797523E-2</v>
      </c>
    </row>
    <row r="124" spans="1:9" x14ac:dyDescent="0.2">
      <c r="A124" s="2">
        <v>40847</v>
      </c>
      <c r="B124" s="1">
        <v>76.17</v>
      </c>
      <c r="C124" s="3">
        <v>0.02</v>
      </c>
      <c r="D124" s="11">
        <f t="shared" si="7"/>
        <v>1.6666666666666667E-5</v>
      </c>
      <c r="E124" s="4">
        <v>1253.3</v>
      </c>
      <c r="F124" s="17">
        <v>52.33</v>
      </c>
      <c r="G124" s="31">
        <f t="shared" si="9"/>
        <v>0.10986214209968187</v>
      </c>
      <c r="H124" s="26">
        <f t="shared" si="10"/>
        <v>0.1077426197631252</v>
      </c>
      <c r="I124" s="28">
        <f t="shared" si="8"/>
        <v>-3.0299172501591285E-2</v>
      </c>
    </row>
    <row r="125" spans="1:9" x14ac:dyDescent="0.2">
      <c r="A125" s="2">
        <v>40877</v>
      </c>
      <c r="B125" s="1">
        <v>78.38</v>
      </c>
      <c r="C125" s="3">
        <v>0.02</v>
      </c>
      <c r="D125" s="11">
        <f t="shared" si="7"/>
        <v>1.6666666666666667E-5</v>
      </c>
      <c r="E125" s="4">
        <v>1247</v>
      </c>
      <c r="F125" s="17">
        <v>51.09</v>
      </c>
      <c r="G125" s="31">
        <f t="shared" si="9"/>
        <v>-2.3695776801070035E-2</v>
      </c>
      <c r="H125" s="26">
        <f t="shared" si="10"/>
        <v>-5.0267294342934291E-3</v>
      </c>
      <c r="I125" s="28">
        <f t="shared" si="8"/>
        <v>2.9014047525272334E-2</v>
      </c>
    </row>
    <row r="126" spans="1:9" x14ac:dyDescent="0.2">
      <c r="A126" s="2">
        <v>40908</v>
      </c>
      <c r="B126" s="1">
        <v>80.180000000000007</v>
      </c>
      <c r="C126" s="3">
        <v>0.01</v>
      </c>
      <c r="D126" s="11">
        <f t="shared" si="7"/>
        <v>8.3333333333333337E-6</v>
      </c>
      <c r="E126" s="4">
        <v>1257.5999999999999</v>
      </c>
      <c r="F126" s="17">
        <v>54.01</v>
      </c>
      <c r="G126" s="31">
        <f t="shared" si="9"/>
        <v>5.7154041886866208E-2</v>
      </c>
      <c r="H126" s="26">
        <f t="shared" si="10"/>
        <v>8.5004009623094699E-3</v>
      </c>
      <c r="I126" s="28">
        <f t="shared" si="8"/>
        <v>2.2965042102577334E-2</v>
      </c>
    </row>
    <row r="127" spans="1:9" x14ac:dyDescent="0.2">
      <c r="A127" s="2">
        <v>40939</v>
      </c>
      <c r="B127" s="1">
        <v>79.290000000000006</v>
      </c>
      <c r="C127" s="3">
        <v>0.04</v>
      </c>
      <c r="D127" s="11">
        <f t="shared" si="7"/>
        <v>3.3333333333333335E-5</v>
      </c>
      <c r="E127" s="4">
        <v>1312.4</v>
      </c>
      <c r="F127" s="17">
        <v>54.78</v>
      </c>
      <c r="G127" s="31">
        <f t="shared" si="9"/>
        <v>1.4256619144602909E-2</v>
      </c>
      <c r="H127" s="26">
        <f t="shared" si="10"/>
        <v>4.3575063613231699E-2</v>
      </c>
      <c r="I127" s="28">
        <f t="shared" si="8"/>
        <v>-1.1100024943876284E-2</v>
      </c>
    </row>
    <row r="128" spans="1:9" x14ac:dyDescent="0.2">
      <c r="A128" s="2">
        <v>40968</v>
      </c>
      <c r="B128" s="1">
        <v>78.739999999999995</v>
      </c>
      <c r="C128" s="3">
        <v>0.08</v>
      </c>
      <c r="D128" s="11">
        <f t="shared" si="7"/>
        <v>6.666666666666667E-5</v>
      </c>
      <c r="E128" s="4">
        <v>1365.7</v>
      </c>
      <c r="F128" s="17">
        <v>54.32</v>
      </c>
      <c r="G128" s="31">
        <f t="shared" si="9"/>
        <v>-8.3972252646951594E-3</v>
      </c>
      <c r="H128" s="26">
        <f t="shared" si="10"/>
        <v>4.0612618104236477E-2</v>
      </c>
      <c r="I128" s="28">
        <f t="shared" si="8"/>
        <v>-6.9365619876404503E-3</v>
      </c>
    </row>
    <row r="129" spans="1:9" x14ac:dyDescent="0.2">
      <c r="A129" s="2">
        <v>40999</v>
      </c>
      <c r="B129" s="1">
        <v>79</v>
      </c>
      <c r="C129" s="3">
        <v>0.05</v>
      </c>
      <c r="D129" s="11">
        <f t="shared" si="7"/>
        <v>4.1666666666666665E-5</v>
      </c>
      <c r="E129" s="4">
        <v>1408.5</v>
      </c>
      <c r="F129" s="17">
        <v>55.19</v>
      </c>
      <c r="G129" s="31">
        <f t="shared" si="9"/>
        <v>1.6016200294550764E-2</v>
      </c>
      <c r="H129" s="26">
        <f t="shared" si="10"/>
        <v>3.1339239950208653E-2</v>
      </c>
      <c r="I129" s="28">
        <f t="shared" si="8"/>
        <v>3.3020066040132731E-3</v>
      </c>
    </row>
    <row r="130" spans="1:9" x14ac:dyDescent="0.2">
      <c r="A130" s="2">
        <v>41029</v>
      </c>
      <c r="B130" s="1">
        <v>78.78</v>
      </c>
      <c r="C130" s="3">
        <v>7.0000000000000007E-2</v>
      </c>
      <c r="D130" s="11">
        <f t="shared" si="7"/>
        <v>5.8333333333333333E-5</v>
      </c>
      <c r="E130" s="4">
        <v>1397.9</v>
      </c>
      <c r="F130" s="17">
        <v>55.62</v>
      </c>
      <c r="G130" s="31">
        <f t="shared" si="9"/>
        <v>7.7912665337923487E-3</v>
      </c>
      <c r="H130" s="26">
        <f t="shared" si="10"/>
        <v>-7.5257365992189625E-3</v>
      </c>
      <c r="I130" s="28">
        <f t="shared" si="8"/>
        <v>-2.7848101265822642E-3</v>
      </c>
    </row>
    <row r="131" spans="1:9" x14ac:dyDescent="0.2">
      <c r="A131" s="2">
        <v>41060</v>
      </c>
      <c r="B131" s="1">
        <v>83.04</v>
      </c>
      <c r="C131" s="3">
        <v>0.03</v>
      </c>
      <c r="D131" s="11">
        <f t="shared" ref="D131:D194" si="11">C131/12/100</f>
        <v>2.5000000000000001E-5</v>
      </c>
      <c r="E131" s="4">
        <v>1310.3</v>
      </c>
      <c r="F131" s="17">
        <v>52.15</v>
      </c>
      <c r="G131" s="31">
        <f t="shared" si="9"/>
        <v>-6.2387630348795381E-2</v>
      </c>
      <c r="H131" s="26">
        <f t="shared" si="10"/>
        <v>-6.2665426711495914E-2</v>
      </c>
      <c r="I131" s="28">
        <f t="shared" ref="I131:I194" si="12">(B131-B130)/B130</f>
        <v>5.407463823305414E-2</v>
      </c>
    </row>
    <row r="132" spans="1:9" x14ac:dyDescent="0.2">
      <c r="A132" s="2">
        <v>41090</v>
      </c>
      <c r="B132" s="1">
        <v>81.63</v>
      </c>
      <c r="C132" s="3">
        <v>0.04</v>
      </c>
      <c r="D132" s="11">
        <f t="shared" si="11"/>
        <v>3.3333333333333335E-5</v>
      </c>
      <c r="E132" s="4">
        <v>1362.2</v>
      </c>
      <c r="F132" s="17">
        <v>55.66</v>
      </c>
      <c r="G132" s="31">
        <f t="shared" ref="G132:G195" si="13">(F132-F131)/F131</f>
        <v>6.7305848513902172E-2</v>
      </c>
      <c r="H132" s="26">
        <f t="shared" ref="H132:H195" si="14">(E132-E131)/E131</f>
        <v>3.9609249790124472E-2</v>
      </c>
      <c r="I132" s="28">
        <f t="shared" si="12"/>
        <v>-1.6979768786127298E-2</v>
      </c>
    </row>
    <row r="133" spans="1:9" x14ac:dyDescent="0.2">
      <c r="A133" s="2">
        <v>41121</v>
      </c>
      <c r="B133" s="1">
        <v>82.64</v>
      </c>
      <c r="C133" s="3">
        <v>7.0000000000000007E-2</v>
      </c>
      <c r="D133" s="11">
        <f t="shared" si="11"/>
        <v>5.8333333333333333E-5</v>
      </c>
      <c r="E133" s="4">
        <v>1379.3</v>
      </c>
      <c r="F133" s="17">
        <v>56.55</v>
      </c>
      <c r="G133" s="31">
        <f t="shared" si="13"/>
        <v>1.5989938914840112E-2</v>
      </c>
      <c r="H133" s="26">
        <f t="shared" si="14"/>
        <v>1.255322272794003E-2</v>
      </c>
      <c r="I133" s="28">
        <f t="shared" si="12"/>
        <v>1.2372902119318942E-2</v>
      </c>
    </row>
    <row r="134" spans="1:9" x14ac:dyDescent="0.2">
      <c r="A134" s="2">
        <v>41152</v>
      </c>
      <c r="B134" s="1">
        <v>81.209999999999994</v>
      </c>
      <c r="C134" s="3">
        <v>0.09</v>
      </c>
      <c r="D134" s="11">
        <f t="shared" si="11"/>
        <v>7.4999999999999993E-5</v>
      </c>
      <c r="E134" s="4">
        <v>1406.6</v>
      </c>
      <c r="F134" s="17">
        <v>58.08</v>
      </c>
      <c r="G134" s="31">
        <f t="shared" si="13"/>
        <v>2.7055702917771905E-2</v>
      </c>
      <c r="H134" s="26">
        <f t="shared" si="14"/>
        <v>1.9792648444863305E-2</v>
      </c>
      <c r="I134" s="28">
        <f t="shared" si="12"/>
        <v>-1.7303969022265331E-2</v>
      </c>
    </row>
    <row r="135" spans="1:9" x14ac:dyDescent="0.2">
      <c r="A135" s="2">
        <v>41182</v>
      </c>
      <c r="B135" s="1">
        <v>79.94</v>
      </c>
      <c r="C135" s="3">
        <v>0.06</v>
      </c>
      <c r="D135" s="11">
        <f t="shared" si="11"/>
        <v>5.0000000000000002E-5</v>
      </c>
      <c r="E135" s="4">
        <v>1440.7</v>
      </c>
      <c r="F135" s="17">
        <v>58.66</v>
      </c>
      <c r="G135" s="31">
        <f t="shared" si="13"/>
        <v>9.9862258953167752E-3</v>
      </c>
      <c r="H135" s="26">
        <f t="shared" si="14"/>
        <v>2.4242855111616762E-2</v>
      </c>
      <c r="I135" s="28">
        <f t="shared" si="12"/>
        <v>-1.5638468168944663E-2</v>
      </c>
    </row>
    <row r="136" spans="1:9" x14ac:dyDescent="0.2">
      <c r="A136" s="2">
        <v>41213</v>
      </c>
      <c r="B136" s="1">
        <v>79.92</v>
      </c>
      <c r="C136" s="3">
        <v>0.09</v>
      </c>
      <c r="D136" s="11">
        <f t="shared" si="11"/>
        <v>7.4999999999999993E-5</v>
      </c>
      <c r="E136" s="4">
        <v>1412.2</v>
      </c>
      <c r="F136" s="17">
        <v>57.79</v>
      </c>
      <c r="G136" s="31">
        <f t="shared" si="13"/>
        <v>-1.4831230821684239E-2</v>
      </c>
      <c r="H136" s="26">
        <f t="shared" si="14"/>
        <v>-1.9782050392170472E-2</v>
      </c>
      <c r="I136" s="28">
        <f t="shared" si="12"/>
        <v>-2.5018764073049814E-4</v>
      </c>
    </row>
    <row r="137" spans="1:9" x14ac:dyDescent="0.2">
      <c r="A137" s="2">
        <v>41243</v>
      </c>
      <c r="B137" s="1">
        <v>80.150000000000006</v>
      </c>
      <c r="C137" s="3">
        <v>0.11</v>
      </c>
      <c r="D137" s="11">
        <f t="shared" si="11"/>
        <v>9.1666666666666668E-5</v>
      </c>
      <c r="E137" s="4">
        <v>1416.2</v>
      </c>
      <c r="F137" s="17">
        <v>56.744999999999997</v>
      </c>
      <c r="G137" s="31">
        <f t="shared" si="13"/>
        <v>-1.8082713272192449E-2</v>
      </c>
      <c r="H137" s="26">
        <f t="shared" si="14"/>
        <v>2.8324599915026199E-3</v>
      </c>
      <c r="I137" s="28">
        <f t="shared" si="12"/>
        <v>2.8778778778779275E-3</v>
      </c>
    </row>
    <row r="138" spans="1:9" x14ac:dyDescent="0.2">
      <c r="A138" s="2">
        <v>41274</v>
      </c>
      <c r="B138" s="1">
        <v>79.77</v>
      </c>
      <c r="C138" s="3">
        <v>0.02</v>
      </c>
      <c r="D138" s="11">
        <f t="shared" si="11"/>
        <v>1.6666666666666667E-5</v>
      </c>
      <c r="E138" s="4">
        <v>1426.2</v>
      </c>
      <c r="F138" s="17">
        <v>56.93</v>
      </c>
      <c r="G138" s="31">
        <f t="shared" si="13"/>
        <v>3.2601991364878363E-3</v>
      </c>
      <c r="H138" s="26">
        <f t="shared" si="14"/>
        <v>7.0611495551475782E-3</v>
      </c>
      <c r="I138" s="28">
        <f t="shared" si="12"/>
        <v>-4.7411104179664338E-3</v>
      </c>
    </row>
    <row r="139" spans="1:9" x14ac:dyDescent="0.2">
      <c r="A139" s="2">
        <v>41305</v>
      </c>
      <c r="B139" s="1">
        <v>79.209999999999994</v>
      </c>
      <c r="C139" s="3">
        <v>0.04</v>
      </c>
      <c r="D139" s="11">
        <f t="shared" si="11"/>
        <v>3.3333333333333335E-5</v>
      </c>
      <c r="E139" s="4">
        <v>1498.1</v>
      </c>
      <c r="F139" s="17">
        <v>59.29</v>
      </c>
      <c r="G139" s="31">
        <f t="shared" si="13"/>
        <v>4.145441770595467E-2</v>
      </c>
      <c r="H139" s="26">
        <f t="shared" si="14"/>
        <v>5.0413686719955025E-2</v>
      </c>
      <c r="I139" s="28">
        <f t="shared" si="12"/>
        <v>-7.0201830262003545E-3</v>
      </c>
    </row>
    <row r="140" spans="1:9" x14ac:dyDescent="0.2">
      <c r="A140" s="2">
        <v>41333</v>
      </c>
      <c r="B140" s="1">
        <v>81.95</v>
      </c>
      <c r="C140" s="3">
        <v>7.0000000000000007E-2</v>
      </c>
      <c r="D140" s="11">
        <f t="shared" si="11"/>
        <v>5.8333333333333333E-5</v>
      </c>
      <c r="E140" s="4">
        <v>1514.7</v>
      </c>
      <c r="F140" s="17">
        <v>61.36</v>
      </c>
      <c r="G140" s="31">
        <f t="shared" si="13"/>
        <v>3.4913138809242711E-2</v>
      </c>
      <c r="H140" s="26">
        <f t="shared" si="14"/>
        <v>1.1080702222815658E-2</v>
      </c>
      <c r="I140" s="28">
        <f t="shared" si="12"/>
        <v>3.4591591970710885E-2</v>
      </c>
    </row>
    <row r="141" spans="1:9" x14ac:dyDescent="0.2">
      <c r="A141" s="2">
        <v>41364</v>
      </c>
      <c r="B141" s="1">
        <v>83.22</v>
      </c>
      <c r="C141" s="3">
        <v>0.04</v>
      </c>
      <c r="D141" s="11">
        <f t="shared" si="11"/>
        <v>3.3333333333333335E-5</v>
      </c>
      <c r="E141" s="4">
        <v>1569.2</v>
      </c>
      <c r="F141" s="17">
        <v>65.03</v>
      </c>
      <c r="G141" s="31">
        <f t="shared" si="13"/>
        <v>5.9810951760104328E-2</v>
      </c>
      <c r="H141" s="26">
        <f t="shared" si="14"/>
        <v>3.5980722255232057E-2</v>
      </c>
      <c r="I141" s="28">
        <f t="shared" si="12"/>
        <v>1.549725442342887E-2</v>
      </c>
    </row>
    <row r="142" spans="1:9" x14ac:dyDescent="0.2">
      <c r="A142" s="2">
        <v>41394</v>
      </c>
      <c r="B142" s="1">
        <v>81.75</v>
      </c>
      <c r="C142" s="3">
        <v>0.03</v>
      </c>
      <c r="D142" s="11">
        <f t="shared" si="11"/>
        <v>2.5000000000000001E-5</v>
      </c>
      <c r="E142" s="4">
        <v>1597.6</v>
      </c>
      <c r="F142" s="17">
        <v>67.34</v>
      </c>
      <c r="G142" s="31">
        <f t="shared" si="13"/>
        <v>3.5522066738428455E-2</v>
      </c>
      <c r="H142" s="26">
        <f t="shared" si="14"/>
        <v>1.8098394086158466E-2</v>
      </c>
      <c r="I142" s="28">
        <f t="shared" si="12"/>
        <v>-1.7664023071377058E-2</v>
      </c>
    </row>
    <row r="143" spans="1:9" x14ac:dyDescent="0.2">
      <c r="A143" s="2">
        <v>41425</v>
      </c>
      <c r="B143" s="1">
        <v>83.26</v>
      </c>
      <c r="C143" s="3">
        <v>0.03</v>
      </c>
      <c r="D143" s="11">
        <f t="shared" si="11"/>
        <v>2.5000000000000001E-5</v>
      </c>
      <c r="E143" s="4">
        <v>1630.7</v>
      </c>
      <c r="F143" s="17">
        <v>68.72</v>
      </c>
      <c r="G143" s="31">
        <f t="shared" si="13"/>
        <v>2.0493020493020424E-2</v>
      </c>
      <c r="H143" s="26">
        <f t="shared" si="14"/>
        <v>2.0718577866800286E-2</v>
      </c>
      <c r="I143" s="28">
        <f t="shared" si="12"/>
        <v>1.847094801223248E-2</v>
      </c>
    </row>
    <row r="144" spans="1:9" x14ac:dyDescent="0.2">
      <c r="A144" s="2">
        <v>41455</v>
      </c>
      <c r="B144" s="1">
        <v>83.14</v>
      </c>
      <c r="C144" s="3">
        <v>0.02</v>
      </c>
      <c r="D144" s="11">
        <f t="shared" si="11"/>
        <v>1.6666666666666667E-5</v>
      </c>
      <c r="E144" s="4">
        <v>1606.3</v>
      </c>
      <c r="F144" s="17">
        <v>68.86</v>
      </c>
      <c r="G144" s="31">
        <f t="shared" si="13"/>
        <v>2.0372526193248048E-3</v>
      </c>
      <c r="H144" s="26">
        <f t="shared" si="14"/>
        <v>-1.4962899368369467E-2</v>
      </c>
      <c r="I144" s="28">
        <f t="shared" si="12"/>
        <v>-1.4412683161182385E-3</v>
      </c>
    </row>
    <row r="145" spans="1:9" x14ac:dyDescent="0.2">
      <c r="A145" s="2">
        <v>41486</v>
      </c>
      <c r="B145" s="1">
        <v>81.45</v>
      </c>
      <c r="C145" s="3">
        <v>0.03</v>
      </c>
      <c r="D145" s="11">
        <f t="shared" si="11"/>
        <v>2.5000000000000001E-5</v>
      </c>
      <c r="E145" s="4">
        <v>1685.7</v>
      </c>
      <c r="F145" s="17">
        <v>72.091999999999999</v>
      </c>
      <c r="G145" s="31">
        <f t="shared" si="13"/>
        <v>4.6935811792041815E-2</v>
      </c>
      <c r="H145" s="26">
        <f t="shared" si="14"/>
        <v>4.943036792629029E-2</v>
      </c>
      <c r="I145" s="28">
        <f t="shared" si="12"/>
        <v>-2.0327159008900621E-2</v>
      </c>
    </row>
    <row r="146" spans="1:9" x14ac:dyDescent="0.2">
      <c r="A146" s="2">
        <v>41517</v>
      </c>
      <c r="B146" s="1">
        <v>82.09</v>
      </c>
      <c r="C146" s="3">
        <v>0.02</v>
      </c>
      <c r="D146" s="11">
        <f t="shared" si="11"/>
        <v>1.6666666666666667E-5</v>
      </c>
      <c r="E146" s="4">
        <v>1633</v>
      </c>
      <c r="F146" s="17">
        <v>71.16</v>
      </c>
      <c r="G146" s="31">
        <f t="shared" si="13"/>
        <v>-1.2927925428619017E-2</v>
      </c>
      <c r="H146" s="26">
        <f t="shared" si="14"/>
        <v>-3.1262976804888203E-2</v>
      </c>
      <c r="I146" s="28">
        <f t="shared" si="12"/>
        <v>7.857581338244329E-3</v>
      </c>
    </row>
    <row r="147" spans="1:9" x14ac:dyDescent="0.2">
      <c r="A147" s="2">
        <v>41547</v>
      </c>
      <c r="B147" s="1">
        <v>80.22</v>
      </c>
      <c r="C147" s="3">
        <v>0.03</v>
      </c>
      <c r="D147" s="11">
        <f t="shared" si="11"/>
        <v>2.5000000000000001E-5</v>
      </c>
      <c r="E147" s="4">
        <v>1681.5</v>
      </c>
      <c r="F147" s="17">
        <v>72.38</v>
      </c>
      <c r="G147" s="31">
        <f t="shared" si="13"/>
        <v>1.7144463181562659E-2</v>
      </c>
      <c r="H147" s="26">
        <f t="shared" si="14"/>
        <v>2.969993876301286E-2</v>
      </c>
      <c r="I147" s="28">
        <f t="shared" si="12"/>
        <v>-2.2779875746132348E-2</v>
      </c>
    </row>
    <row r="148" spans="1:9" x14ac:dyDescent="0.2">
      <c r="A148" s="2">
        <v>41578</v>
      </c>
      <c r="B148" s="1">
        <v>80.19</v>
      </c>
      <c r="C148" s="3">
        <v>0.03</v>
      </c>
      <c r="D148" s="11">
        <f t="shared" si="11"/>
        <v>2.5000000000000001E-5</v>
      </c>
      <c r="E148" s="4">
        <v>1756.5</v>
      </c>
      <c r="F148" s="17">
        <v>75.025000000000006</v>
      </c>
      <c r="G148" s="31">
        <f t="shared" si="13"/>
        <v>3.6543243990052647E-2</v>
      </c>
      <c r="H148" s="26">
        <f t="shared" si="14"/>
        <v>4.4603033006244422E-2</v>
      </c>
      <c r="I148" s="28">
        <f t="shared" si="12"/>
        <v>-3.7397157816007403E-4</v>
      </c>
    </row>
    <row r="149" spans="1:9" x14ac:dyDescent="0.2">
      <c r="A149" s="2">
        <v>41608</v>
      </c>
      <c r="B149" s="1">
        <v>80.680000000000007</v>
      </c>
      <c r="C149" s="3">
        <v>0.05</v>
      </c>
      <c r="D149" s="11">
        <f t="shared" si="11"/>
        <v>4.1666666666666665E-5</v>
      </c>
      <c r="E149" s="4">
        <v>1805.8</v>
      </c>
      <c r="F149" s="17">
        <v>80.02</v>
      </c>
      <c r="G149" s="31">
        <f t="shared" si="13"/>
        <v>6.6577807397534022E-2</v>
      </c>
      <c r="H149" s="26">
        <f t="shared" si="14"/>
        <v>2.8067179049245633E-2</v>
      </c>
      <c r="I149" s="28">
        <f t="shared" si="12"/>
        <v>6.1104875919691867E-3</v>
      </c>
    </row>
    <row r="150" spans="1:9" x14ac:dyDescent="0.2">
      <c r="A150" s="2">
        <v>41639</v>
      </c>
      <c r="B150" s="1">
        <v>80.03</v>
      </c>
      <c r="C150" s="3">
        <v>0.01</v>
      </c>
      <c r="D150" s="11">
        <f t="shared" si="11"/>
        <v>8.3333333333333337E-6</v>
      </c>
      <c r="E150" s="4">
        <v>1848.4</v>
      </c>
      <c r="F150" s="17">
        <v>80.799000000000007</v>
      </c>
      <c r="G150" s="31">
        <f t="shared" si="13"/>
        <v>9.7350662334417717E-3</v>
      </c>
      <c r="H150" s="26">
        <f t="shared" si="14"/>
        <v>2.3590652342452174E-2</v>
      </c>
      <c r="I150" s="28">
        <f t="shared" si="12"/>
        <v>-8.0565195835399801E-3</v>
      </c>
    </row>
    <row r="151" spans="1:9" x14ac:dyDescent="0.2">
      <c r="A151" s="2">
        <v>41670</v>
      </c>
      <c r="B151" s="1">
        <v>81.31</v>
      </c>
      <c r="C151" s="3">
        <v>0.03</v>
      </c>
      <c r="D151" s="11">
        <f t="shared" si="11"/>
        <v>2.5000000000000001E-5</v>
      </c>
      <c r="E151" s="4">
        <v>1782.6</v>
      </c>
      <c r="F151" s="17">
        <v>76.599999999999994</v>
      </c>
      <c r="G151" s="31">
        <f t="shared" si="13"/>
        <v>-5.1968464956249606E-2</v>
      </c>
      <c r="H151" s="26">
        <f t="shared" si="14"/>
        <v>-3.5598355334343315E-2</v>
      </c>
      <c r="I151" s="28">
        <f t="shared" si="12"/>
        <v>1.5994002249156581E-2</v>
      </c>
    </row>
    <row r="152" spans="1:9" x14ac:dyDescent="0.2">
      <c r="A152" s="2">
        <v>41698</v>
      </c>
      <c r="B152" s="1">
        <v>79.69</v>
      </c>
      <c r="C152" s="3">
        <v>0.04</v>
      </c>
      <c r="D152" s="11">
        <f t="shared" si="11"/>
        <v>3.3333333333333335E-5</v>
      </c>
      <c r="E152" s="4">
        <v>1859.45</v>
      </c>
      <c r="F152" s="17">
        <v>77.78</v>
      </c>
      <c r="G152" s="31">
        <f t="shared" si="13"/>
        <v>1.5404699738903484E-2</v>
      </c>
      <c r="H152" s="26">
        <f t="shared" si="14"/>
        <v>4.311118590822402E-2</v>
      </c>
      <c r="I152" s="28">
        <f t="shared" si="12"/>
        <v>-1.9923748616406403E-2</v>
      </c>
    </row>
    <row r="153" spans="1:9" x14ac:dyDescent="0.2">
      <c r="A153" s="2">
        <v>41729</v>
      </c>
      <c r="B153" s="1">
        <v>80.099999999999994</v>
      </c>
      <c r="C153" s="3">
        <v>0.03</v>
      </c>
      <c r="D153" s="11">
        <f t="shared" si="11"/>
        <v>2.5000000000000001E-5</v>
      </c>
      <c r="E153" s="4">
        <v>1872.34</v>
      </c>
      <c r="F153" s="17">
        <v>77.260000000000005</v>
      </c>
      <c r="G153" s="31">
        <f t="shared" si="13"/>
        <v>-6.6855232707636412E-3</v>
      </c>
      <c r="H153" s="26">
        <f t="shared" si="14"/>
        <v>6.9321573583585854E-3</v>
      </c>
      <c r="I153" s="28">
        <f t="shared" si="12"/>
        <v>5.144936629439034E-3</v>
      </c>
    </row>
    <row r="154" spans="1:9" x14ac:dyDescent="0.2">
      <c r="A154" s="2">
        <v>41759</v>
      </c>
      <c r="B154" s="1">
        <v>79.47</v>
      </c>
      <c r="C154" s="3">
        <v>0.02</v>
      </c>
      <c r="D154" s="11">
        <f t="shared" si="11"/>
        <v>1.6666666666666667E-5</v>
      </c>
      <c r="E154" s="4">
        <v>1883.95</v>
      </c>
      <c r="F154" s="17">
        <v>77.959999999999994</v>
      </c>
      <c r="G154" s="31">
        <f t="shared" si="13"/>
        <v>9.0603158167226073E-3</v>
      </c>
      <c r="H154" s="26">
        <f t="shared" si="14"/>
        <v>6.2007968638175372E-3</v>
      </c>
      <c r="I154" s="28">
        <f t="shared" si="12"/>
        <v>-7.8651685393257859E-3</v>
      </c>
    </row>
    <row r="155" spans="1:9" x14ac:dyDescent="0.2">
      <c r="A155" s="2">
        <v>41790</v>
      </c>
      <c r="B155" s="1">
        <v>80.37</v>
      </c>
      <c r="C155" s="3">
        <v>0.05</v>
      </c>
      <c r="D155" s="11">
        <f t="shared" si="11"/>
        <v>4.1666666666666665E-5</v>
      </c>
      <c r="E155" s="4">
        <v>1923.57</v>
      </c>
      <c r="F155" s="17">
        <v>79.680000000000007</v>
      </c>
      <c r="G155" s="31">
        <f t="shared" si="13"/>
        <v>2.2062596203181288E-2</v>
      </c>
      <c r="H155" s="26">
        <f t="shared" si="14"/>
        <v>2.1030282120013743E-2</v>
      </c>
      <c r="I155" s="28">
        <f t="shared" si="12"/>
        <v>1.1325028312570854E-2</v>
      </c>
    </row>
    <row r="156" spans="1:9" x14ac:dyDescent="0.2">
      <c r="A156" s="2">
        <v>41820</v>
      </c>
      <c r="B156" s="1">
        <v>79.78</v>
      </c>
      <c r="C156" s="3">
        <v>0.02</v>
      </c>
      <c r="D156" s="11">
        <f t="shared" si="11"/>
        <v>1.6666666666666667E-5</v>
      </c>
      <c r="E156" s="4">
        <v>1960.23</v>
      </c>
      <c r="F156" s="17">
        <v>79.28</v>
      </c>
      <c r="G156" s="31">
        <f t="shared" si="13"/>
        <v>-5.0200803212852117E-3</v>
      </c>
      <c r="H156" s="26">
        <f t="shared" si="14"/>
        <v>1.9058313448431865E-2</v>
      </c>
      <c r="I156" s="28">
        <f t="shared" si="12"/>
        <v>-7.3410476545975288E-3</v>
      </c>
    </row>
    <row r="157" spans="1:9" x14ac:dyDescent="0.2">
      <c r="A157" s="2">
        <v>41851</v>
      </c>
      <c r="B157" s="1">
        <v>81.459999999999994</v>
      </c>
      <c r="C157" s="3">
        <v>0.01</v>
      </c>
      <c r="D157" s="11">
        <f t="shared" si="11"/>
        <v>8.3333333333333337E-6</v>
      </c>
      <c r="E157" s="4">
        <v>1930.67</v>
      </c>
      <c r="F157" s="17">
        <v>81.31</v>
      </c>
      <c r="G157" s="31">
        <f t="shared" si="13"/>
        <v>2.5605449041372366E-2</v>
      </c>
      <c r="H157" s="26">
        <f t="shared" si="14"/>
        <v>-1.5079863077291922E-2</v>
      </c>
      <c r="I157" s="28">
        <f t="shared" si="12"/>
        <v>2.1057909250438614E-2</v>
      </c>
    </row>
    <row r="158" spans="1:9" x14ac:dyDescent="0.2">
      <c r="A158" s="2">
        <v>41882</v>
      </c>
      <c r="B158" s="1">
        <v>82.75</v>
      </c>
      <c r="C158" s="3">
        <v>0.02</v>
      </c>
      <c r="D158" s="11">
        <f t="shared" si="11"/>
        <v>1.6666666666666667E-5</v>
      </c>
      <c r="E158" s="4">
        <v>2003.37</v>
      </c>
      <c r="F158" s="17">
        <v>83.48</v>
      </c>
      <c r="G158" s="31">
        <f t="shared" si="13"/>
        <v>2.668798425777889E-2</v>
      </c>
      <c r="H158" s="26">
        <f t="shared" si="14"/>
        <v>3.7655321727690289E-2</v>
      </c>
      <c r="I158" s="28">
        <f t="shared" si="12"/>
        <v>1.5835993125460426E-2</v>
      </c>
    </row>
    <row r="159" spans="1:9" x14ac:dyDescent="0.2">
      <c r="A159" s="2">
        <v>41912</v>
      </c>
      <c r="B159" s="1">
        <v>85.94</v>
      </c>
      <c r="C159" s="3">
        <v>0.02</v>
      </c>
      <c r="D159" s="11">
        <f t="shared" si="11"/>
        <v>1.6666666666666667E-5</v>
      </c>
      <c r="E159" s="4">
        <v>1972.29</v>
      </c>
      <c r="F159" s="17">
        <v>83.08</v>
      </c>
      <c r="G159" s="31">
        <f t="shared" si="13"/>
        <v>-4.7915668423575185E-3</v>
      </c>
      <c r="H159" s="26">
        <f t="shared" si="14"/>
        <v>-1.5513859147336702E-2</v>
      </c>
      <c r="I159" s="28">
        <f t="shared" si="12"/>
        <v>3.8549848942598157E-2</v>
      </c>
    </row>
    <row r="160" spans="1:9" x14ac:dyDescent="0.2">
      <c r="A160" s="2">
        <v>41943</v>
      </c>
      <c r="B160" s="1">
        <v>86.92</v>
      </c>
      <c r="C160" s="3">
        <v>0.01</v>
      </c>
      <c r="D160" s="11">
        <f t="shared" si="11"/>
        <v>8.3333333333333337E-6</v>
      </c>
      <c r="E160" s="4">
        <v>2018.05</v>
      </c>
      <c r="F160" s="17">
        <v>81.78</v>
      </c>
      <c r="G160" s="31">
        <f t="shared" si="13"/>
        <v>-1.5647568608570018E-2</v>
      </c>
      <c r="H160" s="26">
        <f t="shared" si="14"/>
        <v>2.3201456175308902E-2</v>
      </c>
      <c r="I160" s="28">
        <f t="shared" si="12"/>
        <v>1.1403304631138049E-2</v>
      </c>
    </row>
    <row r="161" spans="1:9" x14ac:dyDescent="0.2">
      <c r="A161" s="2">
        <v>41973</v>
      </c>
      <c r="B161" s="1">
        <v>88.36</v>
      </c>
      <c r="C161" s="3">
        <v>0.04</v>
      </c>
      <c r="D161" s="11">
        <f t="shared" si="11"/>
        <v>3.3333333333333335E-5</v>
      </c>
      <c r="E161" s="4">
        <v>2067.56</v>
      </c>
      <c r="F161" s="17">
        <v>85.64</v>
      </c>
      <c r="G161" s="31">
        <f t="shared" si="13"/>
        <v>4.7199804353142569E-2</v>
      </c>
      <c r="H161" s="26">
        <f t="shared" si="14"/>
        <v>2.4533584400782932E-2</v>
      </c>
      <c r="I161" s="28">
        <f t="shared" si="12"/>
        <v>1.6566958122411386E-2</v>
      </c>
    </row>
    <row r="162" spans="1:9" x14ac:dyDescent="0.2">
      <c r="A162" s="2">
        <v>42004</v>
      </c>
      <c r="B162" s="1">
        <v>90.27</v>
      </c>
      <c r="C162" s="3">
        <v>0.03</v>
      </c>
      <c r="D162" s="11">
        <f t="shared" si="11"/>
        <v>2.5000000000000001E-5</v>
      </c>
      <c r="E162" s="4">
        <v>2058.9</v>
      </c>
      <c r="F162" s="17">
        <v>83.37</v>
      </c>
      <c r="G162" s="31">
        <f t="shared" si="13"/>
        <v>-2.650630546473606E-2</v>
      </c>
      <c r="H162" s="26">
        <f t="shared" si="14"/>
        <v>-4.1885120625277401E-3</v>
      </c>
      <c r="I162" s="28">
        <f t="shared" si="12"/>
        <v>2.161611588954274E-2</v>
      </c>
    </row>
    <row r="163" spans="1:9" x14ac:dyDescent="0.2">
      <c r="A163" s="2">
        <v>42035</v>
      </c>
      <c r="B163" s="1">
        <v>94.8</v>
      </c>
      <c r="C163" s="3">
        <v>0.01</v>
      </c>
      <c r="D163" s="11">
        <f t="shared" si="11"/>
        <v>8.3333333333333337E-6</v>
      </c>
      <c r="E163" s="4">
        <v>1994.99</v>
      </c>
      <c r="F163" s="17">
        <v>82.53</v>
      </c>
      <c r="G163" s="31">
        <f t="shared" si="13"/>
        <v>-1.0075566750629763E-2</v>
      </c>
      <c r="H163" s="26">
        <f t="shared" si="14"/>
        <v>-3.1040847054252307E-2</v>
      </c>
      <c r="I163" s="28">
        <f t="shared" si="12"/>
        <v>5.0182784978398155E-2</v>
      </c>
    </row>
    <row r="164" spans="1:9" x14ac:dyDescent="0.2">
      <c r="A164" s="2">
        <v>42063</v>
      </c>
      <c r="B164" s="1">
        <v>95.32</v>
      </c>
      <c r="C164" s="3">
        <v>0.02</v>
      </c>
      <c r="D164" s="11">
        <f t="shared" si="11"/>
        <v>1.6666666666666667E-5</v>
      </c>
      <c r="E164" s="4">
        <v>2104.5</v>
      </c>
      <c r="F164" s="17">
        <v>88.84</v>
      </c>
      <c r="G164" s="31">
        <f t="shared" si="13"/>
        <v>7.6457045922694811E-2</v>
      </c>
      <c r="H164" s="26">
        <f t="shared" si="14"/>
        <v>5.4892505726845744E-2</v>
      </c>
      <c r="I164" s="28">
        <f t="shared" si="12"/>
        <v>5.4852320675105063E-3</v>
      </c>
    </row>
    <row r="165" spans="1:9" x14ac:dyDescent="0.2">
      <c r="A165" s="2">
        <v>42094</v>
      </c>
      <c r="B165" s="1">
        <v>98.36</v>
      </c>
      <c r="C165" s="3">
        <v>0.05</v>
      </c>
      <c r="D165" s="11">
        <f t="shared" si="11"/>
        <v>4.1666666666666665E-5</v>
      </c>
      <c r="E165" s="4">
        <v>2067.89</v>
      </c>
      <c r="F165" s="17">
        <v>85.64</v>
      </c>
      <c r="G165" s="31">
        <f t="shared" si="13"/>
        <v>-3.6019810895992828E-2</v>
      </c>
      <c r="H165" s="26">
        <f t="shared" si="14"/>
        <v>-1.7396056070325554E-2</v>
      </c>
      <c r="I165" s="28">
        <f t="shared" si="12"/>
        <v>3.1892572387746607E-2</v>
      </c>
    </row>
    <row r="166" spans="1:9" x14ac:dyDescent="0.2">
      <c r="A166" s="2">
        <v>42124</v>
      </c>
      <c r="B166" s="1">
        <v>94.6</v>
      </c>
      <c r="C166" s="3">
        <v>0</v>
      </c>
      <c r="D166" s="11">
        <f t="shared" si="11"/>
        <v>0</v>
      </c>
      <c r="E166" s="4">
        <v>2085.5100000000002</v>
      </c>
      <c r="F166" s="17">
        <v>84.54</v>
      </c>
      <c r="G166" s="31">
        <f t="shared" si="13"/>
        <v>-1.2844465203176019E-2</v>
      </c>
      <c r="H166" s="26">
        <f t="shared" si="14"/>
        <v>8.5207627098154871E-3</v>
      </c>
      <c r="I166" s="28">
        <f t="shared" si="12"/>
        <v>-3.8226921512810139E-2</v>
      </c>
    </row>
    <row r="167" spans="1:9" x14ac:dyDescent="0.2">
      <c r="A167" s="2">
        <v>42155</v>
      </c>
      <c r="B167" s="1">
        <v>96.91</v>
      </c>
      <c r="C167" s="3">
        <v>0.01</v>
      </c>
      <c r="D167" s="11">
        <f t="shared" si="11"/>
        <v>8.3333333333333337E-6</v>
      </c>
      <c r="E167" s="4">
        <v>2107.39</v>
      </c>
      <c r="F167" s="17">
        <v>85.51</v>
      </c>
      <c r="G167" s="31">
        <f t="shared" si="13"/>
        <v>1.1473858528507202E-2</v>
      </c>
      <c r="H167" s="26">
        <f t="shared" si="14"/>
        <v>1.0491438545008008E-2</v>
      </c>
      <c r="I167" s="28">
        <f t="shared" si="12"/>
        <v>2.4418604651162815E-2</v>
      </c>
    </row>
    <row r="168" spans="1:9" x14ac:dyDescent="0.2">
      <c r="A168" s="2">
        <v>42185</v>
      </c>
      <c r="B168" s="1">
        <v>95.48</v>
      </c>
      <c r="C168" s="3">
        <v>0.02</v>
      </c>
      <c r="D168" s="11">
        <f t="shared" si="11"/>
        <v>1.6666666666666667E-5</v>
      </c>
      <c r="E168" s="4">
        <v>2063.11</v>
      </c>
      <c r="F168" s="17">
        <v>80.23</v>
      </c>
      <c r="G168" s="31">
        <f t="shared" si="13"/>
        <v>-6.1747164074377275E-2</v>
      </c>
      <c r="H168" s="26">
        <f t="shared" si="14"/>
        <v>-2.1011772856471631E-2</v>
      </c>
      <c r="I168" s="28">
        <f t="shared" si="12"/>
        <v>-1.4755959137343852E-2</v>
      </c>
    </row>
    <row r="169" spans="1:9" x14ac:dyDescent="0.2">
      <c r="A169" s="2">
        <v>42216</v>
      </c>
      <c r="B169" s="1">
        <v>97.34</v>
      </c>
      <c r="C169" s="3">
        <v>0.04</v>
      </c>
      <c r="D169" s="11">
        <f t="shared" si="11"/>
        <v>3.3333333333333335E-5</v>
      </c>
      <c r="E169" s="4">
        <v>2103.84</v>
      </c>
      <c r="F169" s="17">
        <v>79.77</v>
      </c>
      <c r="G169" s="31">
        <f t="shared" si="13"/>
        <v>-5.7335161410944522E-3</v>
      </c>
      <c r="H169" s="26">
        <f t="shared" si="14"/>
        <v>1.9742039930008587E-2</v>
      </c>
      <c r="I169" s="28">
        <f t="shared" si="12"/>
        <v>1.9480519480519473E-2</v>
      </c>
    </row>
    <row r="170" spans="1:9" x14ac:dyDescent="0.2">
      <c r="A170" s="2">
        <v>42247</v>
      </c>
      <c r="B170" s="1">
        <v>95.82</v>
      </c>
      <c r="C170" s="3">
        <v>0</v>
      </c>
      <c r="D170" s="11">
        <f t="shared" si="11"/>
        <v>0</v>
      </c>
      <c r="E170" s="4">
        <v>1972.18</v>
      </c>
      <c r="F170" s="17">
        <v>77.319999999999993</v>
      </c>
      <c r="G170" s="31">
        <f t="shared" si="13"/>
        <v>-3.0713300739626463E-2</v>
      </c>
      <c r="H170" s="26">
        <f t="shared" si="14"/>
        <v>-6.2580804623925804E-2</v>
      </c>
      <c r="I170" s="28">
        <f t="shared" si="12"/>
        <v>-1.561536881035556E-2</v>
      </c>
    </row>
    <row r="171" spans="1:9" x14ac:dyDescent="0.2">
      <c r="A171" s="2">
        <v>42277</v>
      </c>
      <c r="B171" s="1">
        <v>96.35</v>
      </c>
      <c r="C171" s="3">
        <v>0</v>
      </c>
      <c r="D171" s="11">
        <f t="shared" si="11"/>
        <v>0</v>
      </c>
      <c r="E171" s="4">
        <v>1920.03</v>
      </c>
      <c r="F171" s="17">
        <v>80.36</v>
      </c>
      <c r="G171" s="31">
        <f t="shared" si="13"/>
        <v>3.9317123642007325E-2</v>
      </c>
      <c r="H171" s="26">
        <f t="shared" si="14"/>
        <v>-2.6442819620927142E-2</v>
      </c>
      <c r="I171" s="28">
        <f t="shared" si="12"/>
        <v>5.5312043414736086E-3</v>
      </c>
    </row>
    <row r="172" spans="1:9" x14ac:dyDescent="0.2">
      <c r="A172" s="2">
        <v>42308</v>
      </c>
      <c r="B172" s="1">
        <v>96.95</v>
      </c>
      <c r="C172" s="3">
        <v>0.01</v>
      </c>
      <c r="D172" s="11">
        <f t="shared" si="11"/>
        <v>8.3333333333333337E-6</v>
      </c>
      <c r="E172" s="4">
        <v>2079.36</v>
      </c>
      <c r="F172" s="17">
        <v>86.99</v>
      </c>
      <c r="G172" s="31">
        <f t="shared" si="13"/>
        <v>8.2503733200597257E-2</v>
      </c>
      <c r="H172" s="26">
        <f t="shared" si="14"/>
        <v>8.298307838940025E-2</v>
      </c>
      <c r="I172" s="28">
        <f t="shared" si="12"/>
        <v>6.2272963155164352E-3</v>
      </c>
    </row>
    <row r="173" spans="1:9" x14ac:dyDescent="0.2">
      <c r="A173" s="2">
        <v>42338</v>
      </c>
      <c r="B173" s="1">
        <v>100.17</v>
      </c>
      <c r="C173" s="3">
        <v>0.11</v>
      </c>
      <c r="D173" s="11">
        <f t="shared" si="11"/>
        <v>9.1666666666666668E-5</v>
      </c>
      <c r="E173" s="4">
        <v>2080.41</v>
      </c>
      <c r="F173" s="17">
        <v>86.26</v>
      </c>
      <c r="G173" s="31">
        <f t="shared" si="13"/>
        <v>-8.3917691688698681E-3</v>
      </c>
      <c r="H173" s="26">
        <f t="shared" si="14"/>
        <v>5.0496306555850219E-4</v>
      </c>
      <c r="I173" s="28">
        <f t="shared" si="12"/>
        <v>3.3212996389891683E-2</v>
      </c>
    </row>
    <row r="174" spans="1:9" x14ac:dyDescent="0.2">
      <c r="A174" s="2">
        <v>42369</v>
      </c>
      <c r="B174" s="1">
        <v>98.63</v>
      </c>
      <c r="C174" s="3">
        <v>0.14000000000000001</v>
      </c>
      <c r="D174" s="11">
        <f t="shared" si="11"/>
        <v>1.1666666666666667E-4</v>
      </c>
      <c r="E174" s="4">
        <v>2043.94</v>
      </c>
      <c r="F174" s="17">
        <v>84.72</v>
      </c>
      <c r="G174" s="31">
        <f t="shared" si="13"/>
        <v>-1.7853002550429008E-2</v>
      </c>
      <c r="H174" s="26">
        <f t="shared" si="14"/>
        <v>-1.7530198374358805E-2</v>
      </c>
      <c r="I174" s="28">
        <f t="shared" si="12"/>
        <v>-1.5373864430468266E-2</v>
      </c>
    </row>
    <row r="175" spans="1:9" x14ac:dyDescent="0.2">
      <c r="A175" s="2">
        <v>42400</v>
      </c>
      <c r="B175" s="1">
        <v>99.61</v>
      </c>
      <c r="C175" s="3">
        <v>0.22</v>
      </c>
      <c r="D175" s="11">
        <f t="shared" si="11"/>
        <v>1.8333333333333334E-4</v>
      </c>
      <c r="E175" s="4">
        <v>1940.24</v>
      </c>
      <c r="F175" s="17">
        <v>83.09</v>
      </c>
      <c r="G175" s="31">
        <f t="shared" si="13"/>
        <v>-1.9239848914069824E-2</v>
      </c>
      <c r="H175" s="26">
        <f t="shared" si="14"/>
        <v>-5.0735344481736278E-2</v>
      </c>
      <c r="I175" s="28">
        <f t="shared" si="12"/>
        <v>9.9361249112846391E-3</v>
      </c>
    </row>
    <row r="176" spans="1:9" x14ac:dyDescent="0.2">
      <c r="A176" s="2">
        <v>42429</v>
      </c>
      <c r="B176" s="1">
        <v>98.21</v>
      </c>
      <c r="C176" s="3">
        <v>0.23</v>
      </c>
      <c r="D176" s="11">
        <f t="shared" si="11"/>
        <v>1.916666666666667E-4</v>
      </c>
      <c r="E176" s="4">
        <v>1932.23</v>
      </c>
      <c r="F176" s="17">
        <v>84.69</v>
      </c>
      <c r="G176" s="31">
        <f t="shared" si="13"/>
        <v>1.9256228186303938E-2</v>
      </c>
      <c r="H176" s="26">
        <f t="shared" si="14"/>
        <v>-4.1283552550199932E-3</v>
      </c>
      <c r="I176" s="28">
        <f t="shared" si="12"/>
        <v>-1.4054813773717555E-2</v>
      </c>
    </row>
    <row r="177" spans="1:9" x14ac:dyDescent="0.2">
      <c r="A177" s="2">
        <v>42460</v>
      </c>
      <c r="B177" s="1">
        <v>94.59</v>
      </c>
      <c r="C177" s="3">
        <v>0.18</v>
      </c>
      <c r="D177" s="11">
        <f t="shared" si="11"/>
        <v>1.4999999999999999E-4</v>
      </c>
      <c r="E177" s="4">
        <v>2059.7399999999998</v>
      </c>
      <c r="F177" s="17">
        <v>89.71</v>
      </c>
      <c r="G177" s="31">
        <f t="shared" si="13"/>
        <v>5.9275002951942331E-2</v>
      </c>
      <c r="H177" s="26">
        <f t="shared" si="14"/>
        <v>6.5991108718941205E-2</v>
      </c>
      <c r="I177" s="28">
        <f t="shared" si="12"/>
        <v>-3.6859790245392432E-2</v>
      </c>
    </row>
    <row r="178" spans="1:9" x14ac:dyDescent="0.2">
      <c r="A178" s="2">
        <v>42490</v>
      </c>
      <c r="B178" s="1">
        <v>93.08</v>
      </c>
      <c r="C178" s="3">
        <v>0.16</v>
      </c>
      <c r="D178" s="11">
        <f t="shared" si="11"/>
        <v>1.3333333333333334E-4</v>
      </c>
      <c r="E178" s="4">
        <v>2065.3000000000002</v>
      </c>
      <c r="F178" s="17">
        <v>88.44</v>
      </c>
      <c r="G178" s="31">
        <f t="shared" si="13"/>
        <v>-1.4156727232192577E-2</v>
      </c>
      <c r="H178" s="26">
        <f t="shared" si="14"/>
        <v>2.6993698233759604E-3</v>
      </c>
      <c r="I178" s="28">
        <f t="shared" si="12"/>
        <v>-1.5963632519293849E-2</v>
      </c>
    </row>
    <row r="179" spans="1:9" x14ac:dyDescent="0.2">
      <c r="A179" s="2">
        <v>42521</v>
      </c>
      <c r="B179" s="1">
        <v>95.89</v>
      </c>
      <c r="C179" s="3">
        <v>0.27</v>
      </c>
      <c r="D179" s="11">
        <f t="shared" si="11"/>
        <v>2.2500000000000002E-4</v>
      </c>
      <c r="E179" s="4">
        <v>2096.96</v>
      </c>
      <c r="F179" s="17">
        <v>87.84</v>
      </c>
      <c r="G179" s="31">
        <f t="shared" si="13"/>
        <v>-6.7842605156037353E-3</v>
      </c>
      <c r="H179" s="26">
        <f t="shared" si="14"/>
        <v>1.5329492083474484E-2</v>
      </c>
      <c r="I179" s="28">
        <f t="shared" si="12"/>
        <v>3.0189084658358425E-2</v>
      </c>
    </row>
    <row r="180" spans="1:9" x14ac:dyDescent="0.2">
      <c r="A180" s="2">
        <v>42551</v>
      </c>
      <c r="B180" s="1">
        <v>96.14</v>
      </c>
      <c r="C180" s="3">
        <v>0.2</v>
      </c>
      <c r="D180" s="11">
        <f t="shared" si="11"/>
        <v>1.6666666666666666E-4</v>
      </c>
      <c r="E180" s="4">
        <v>2098.86</v>
      </c>
      <c r="F180" s="17">
        <v>91.87</v>
      </c>
      <c r="G180" s="31">
        <f t="shared" si="13"/>
        <v>4.5878870673952653E-2</v>
      </c>
      <c r="H180" s="26">
        <f t="shared" si="14"/>
        <v>9.0607355409740335E-4</v>
      </c>
      <c r="I180" s="28">
        <f t="shared" si="12"/>
        <v>2.6071540306601315E-3</v>
      </c>
    </row>
    <row r="181" spans="1:9" x14ac:dyDescent="0.2">
      <c r="A181" s="2">
        <v>42582</v>
      </c>
      <c r="B181" s="1">
        <v>95.53</v>
      </c>
      <c r="C181" s="3">
        <v>0.19</v>
      </c>
      <c r="D181" s="11">
        <f t="shared" si="11"/>
        <v>1.5833333333333335E-4</v>
      </c>
      <c r="E181" s="4">
        <v>2173.6</v>
      </c>
      <c r="F181" s="17">
        <v>88.95</v>
      </c>
      <c r="G181" s="31">
        <f t="shared" si="13"/>
        <v>-3.1784042668988807E-2</v>
      </c>
      <c r="H181" s="26">
        <f t="shared" si="14"/>
        <v>3.5609807228685945E-2</v>
      </c>
      <c r="I181" s="28">
        <f t="shared" si="12"/>
        <v>-6.3449136675681238E-3</v>
      </c>
    </row>
    <row r="182" spans="1:9" x14ac:dyDescent="0.2">
      <c r="A182" s="2">
        <v>42613</v>
      </c>
      <c r="B182" s="1">
        <v>96.02</v>
      </c>
      <c r="C182" s="3">
        <v>0.26</v>
      </c>
      <c r="D182" s="11">
        <f t="shared" si="11"/>
        <v>2.1666666666666668E-4</v>
      </c>
      <c r="E182" s="4">
        <v>2170.9499999999998</v>
      </c>
      <c r="F182" s="17">
        <v>89.81</v>
      </c>
      <c r="G182" s="31">
        <f t="shared" si="13"/>
        <v>9.6683530073074699E-3</v>
      </c>
      <c r="H182" s="26">
        <f t="shared" si="14"/>
        <v>-1.2191755612808663E-3</v>
      </c>
      <c r="I182" s="28">
        <f t="shared" si="12"/>
        <v>5.1292787605987109E-3</v>
      </c>
    </row>
    <row r="183" spans="1:9" x14ac:dyDescent="0.2">
      <c r="A183" s="2">
        <v>42643</v>
      </c>
      <c r="B183" s="1">
        <v>95.46</v>
      </c>
      <c r="C183" s="3">
        <v>0.2</v>
      </c>
      <c r="D183" s="11">
        <f t="shared" si="11"/>
        <v>1.6666666666666666E-4</v>
      </c>
      <c r="E183" s="4">
        <v>2168.27</v>
      </c>
      <c r="F183" s="17">
        <v>88.2</v>
      </c>
      <c r="G183" s="31">
        <f t="shared" si="13"/>
        <v>-1.792673421667965E-2</v>
      </c>
      <c r="H183" s="26">
        <f t="shared" si="14"/>
        <v>-1.2344825997834296E-3</v>
      </c>
      <c r="I183" s="28">
        <f t="shared" si="12"/>
        <v>-5.832118308685714E-3</v>
      </c>
    </row>
    <row r="184" spans="1:9" x14ac:dyDescent="0.2">
      <c r="A184" s="2">
        <v>42674</v>
      </c>
      <c r="B184" s="1">
        <v>98.44</v>
      </c>
      <c r="C184" s="3">
        <v>0.2</v>
      </c>
      <c r="D184" s="11">
        <f t="shared" si="11"/>
        <v>1.6666666666666666E-4</v>
      </c>
      <c r="E184" s="4">
        <v>2126.15</v>
      </c>
      <c r="F184" s="17">
        <v>87.06</v>
      </c>
      <c r="G184" s="31">
        <f t="shared" si="13"/>
        <v>-1.2925170068027217E-2</v>
      </c>
      <c r="H184" s="26">
        <f t="shared" si="14"/>
        <v>-1.9425625037472222E-2</v>
      </c>
      <c r="I184" s="28">
        <f t="shared" si="12"/>
        <v>3.1217263775403355E-2</v>
      </c>
    </row>
    <row r="185" spans="1:9" x14ac:dyDescent="0.2">
      <c r="A185" s="2">
        <v>42704</v>
      </c>
      <c r="B185" s="1">
        <v>101.5</v>
      </c>
      <c r="C185" s="3">
        <v>0.38</v>
      </c>
      <c r="D185" s="11">
        <f t="shared" si="11"/>
        <v>3.166666666666667E-4</v>
      </c>
      <c r="E185" s="4">
        <v>2198.81</v>
      </c>
      <c r="F185" s="17">
        <v>96.02</v>
      </c>
      <c r="G185" s="31">
        <f t="shared" si="13"/>
        <v>0.10291752814151153</v>
      </c>
      <c r="H185" s="26">
        <f t="shared" si="14"/>
        <v>3.4174446769983234E-2</v>
      </c>
      <c r="I185" s="28">
        <f t="shared" si="12"/>
        <v>3.1084924827305998E-2</v>
      </c>
    </row>
    <row r="186" spans="1:9" x14ac:dyDescent="0.2">
      <c r="A186" s="2">
        <v>42735</v>
      </c>
      <c r="B186" s="1">
        <v>102.21</v>
      </c>
      <c r="C186" s="3">
        <v>0.44</v>
      </c>
      <c r="D186" s="11">
        <f t="shared" si="11"/>
        <v>3.6666666666666667E-4</v>
      </c>
      <c r="E186" s="4">
        <v>2238.83</v>
      </c>
      <c r="F186" s="17">
        <v>102.78</v>
      </c>
      <c r="G186" s="31">
        <f t="shared" si="13"/>
        <v>7.040199958342018E-2</v>
      </c>
      <c r="H186" s="26">
        <f t="shared" si="14"/>
        <v>1.8200754044233009E-2</v>
      </c>
      <c r="I186" s="28">
        <f t="shared" si="12"/>
        <v>6.9950738916255539E-3</v>
      </c>
    </row>
    <row r="187" spans="1:9" x14ac:dyDescent="0.2">
      <c r="A187" s="2">
        <v>42766</v>
      </c>
      <c r="B187" s="1">
        <v>99.51</v>
      </c>
      <c r="C187" s="3">
        <v>0.5</v>
      </c>
      <c r="D187" s="11">
        <f t="shared" si="11"/>
        <v>4.1666666666666664E-4</v>
      </c>
      <c r="E187" s="4">
        <v>2278.87</v>
      </c>
      <c r="F187" s="17">
        <v>100.99</v>
      </c>
      <c r="G187" s="31">
        <f t="shared" si="13"/>
        <v>-1.7415839657520978E-2</v>
      </c>
      <c r="H187" s="26">
        <f t="shared" si="14"/>
        <v>1.7884341374735897E-2</v>
      </c>
      <c r="I187" s="28">
        <f t="shared" si="12"/>
        <v>-2.6416201937188032E-2</v>
      </c>
    </row>
    <row r="188" spans="1:9" x14ac:dyDescent="0.2">
      <c r="A188" s="2">
        <v>42794</v>
      </c>
      <c r="B188" s="1">
        <v>101.12</v>
      </c>
      <c r="C188" s="3">
        <v>0.4</v>
      </c>
      <c r="D188" s="11">
        <f t="shared" si="11"/>
        <v>3.3333333333333332E-4</v>
      </c>
      <c r="E188" s="4">
        <v>2363.64</v>
      </c>
      <c r="F188" s="17">
        <v>102.62</v>
      </c>
      <c r="G188" s="31">
        <f t="shared" si="13"/>
        <v>1.614021190216863E-2</v>
      </c>
      <c r="H188" s="26">
        <f t="shared" si="14"/>
        <v>3.7198260541408672E-2</v>
      </c>
      <c r="I188" s="28">
        <f t="shared" si="12"/>
        <v>1.6179278464475925E-2</v>
      </c>
    </row>
    <row r="189" spans="1:9" x14ac:dyDescent="0.2">
      <c r="A189" s="2">
        <v>42825</v>
      </c>
      <c r="B189" s="1">
        <v>100.35</v>
      </c>
      <c r="C189" s="3">
        <v>0.74</v>
      </c>
      <c r="D189" s="11">
        <f t="shared" si="11"/>
        <v>6.1666666666666673E-4</v>
      </c>
      <c r="E189" s="4">
        <v>2362.7199999999998</v>
      </c>
      <c r="F189" s="17">
        <v>102.39</v>
      </c>
      <c r="G189" s="31">
        <f t="shared" si="13"/>
        <v>-2.2412785032157861E-3</v>
      </c>
      <c r="H189" s="26">
        <f t="shared" si="14"/>
        <v>-3.8923017041515325E-4</v>
      </c>
      <c r="I189" s="28">
        <f t="shared" si="12"/>
        <v>-7.6147151898735181E-3</v>
      </c>
    </row>
    <row r="190" spans="1:9" x14ac:dyDescent="0.2">
      <c r="A190" s="2">
        <v>42855</v>
      </c>
      <c r="B190" s="1">
        <v>99.05</v>
      </c>
      <c r="C190" s="3">
        <v>0.68</v>
      </c>
      <c r="D190" s="11">
        <f t="shared" si="11"/>
        <v>5.6666666666666671E-4</v>
      </c>
      <c r="E190" s="4">
        <v>2384.1999999999998</v>
      </c>
      <c r="F190" s="17">
        <v>104.49</v>
      </c>
      <c r="G190" s="31">
        <f t="shared" si="13"/>
        <v>2.0509815411661241E-2</v>
      </c>
      <c r="H190" s="26">
        <f t="shared" si="14"/>
        <v>9.0912169025529985E-3</v>
      </c>
      <c r="I190" s="28">
        <f t="shared" si="12"/>
        <v>-1.2954658694568981E-2</v>
      </c>
    </row>
    <row r="191" spans="1:9" x14ac:dyDescent="0.2">
      <c r="A191" s="2">
        <v>42886</v>
      </c>
      <c r="B191" s="1">
        <v>96.92</v>
      </c>
      <c r="C191" s="3">
        <v>0.86</v>
      </c>
      <c r="D191" s="11">
        <f t="shared" si="11"/>
        <v>7.1666666666666667E-4</v>
      </c>
      <c r="E191" s="4">
        <v>2411.8000000000002</v>
      </c>
      <c r="F191" s="17">
        <v>102.37</v>
      </c>
      <c r="G191" s="31">
        <f t="shared" si="13"/>
        <v>-2.0289022873002108E-2</v>
      </c>
      <c r="H191" s="26">
        <f t="shared" si="14"/>
        <v>1.1576210049492646E-2</v>
      </c>
      <c r="I191" s="28">
        <f t="shared" si="12"/>
        <v>-2.1504290762241248E-2</v>
      </c>
    </row>
    <row r="192" spans="1:9" x14ac:dyDescent="0.2">
      <c r="A192" s="2">
        <v>42916</v>
      </c>
      <c r="B192" s="1">
        <v>95.63</v>
      </c>
      <c r="C192" s="3">
        <v>0.84</v>
      </c>
      <c r="D192" s="11">
        <f t="shared" si="11"/>
        <v>6.9999999999999988E-4</v>
      </c>
      <c r="E192" s="4">
        <v>2423.41</v>
      </c>
      <c r="F192" s="17">
        <v>102.46</v>
      </c>
      <c r="G192" s="31">
        <f t="shared" si="13"/>
        <v>8.7916381752455985E-4</v>
      </c>
      <c r="H192" s="26">
        <f t="shared" si="14"/>
        <v>4.81383199270241E-3</v>
      </c>
      <c r="I192" s="28">
        <f t="shared" si="12"/>
        <v>-1.330994634750316E-2</v>
      </c>
    </row>
    <row r="193" spans="1:9" x14ac:dyDescent="0.2">
      <c r="A193" s="2">
        <v>42947</v>
      </c>
      <c r="B193" s="1">
        <v>92.86</v>
      </c>
      <c r="C193" s="3">
        <v>1</v>
      </c>
      <c r="D193" s="11">
        <f t="shared" si="11"/>
        <v>8.3333333333333328E-4</v>
      </c>
      <c r="E193" s="4">
        <v>2470.3000000000002</v>
      </c>
      <c r="F193" s="17">
        <v>118.91</v>
      </c>
      <c r="G193" s="31">
        <f t="shared" si="13"/>
        <v>0.16055045871559637</v>
      </c>
      <c r="H193" s="26">
        <f t="shared" si="14"/>
        <v>1.9348768883515513E-2</v>
      </c>
      <c r="I193" s="28">
        <f t="shared" si="12"/>
        <v>-2.8965805709505344E-2</v>
      </c>
    </row>
    <row r="194" spans="1:9" x14ac:dyDescent="0.2">
      <c r="A194" s="2">
        <v>42978</v>
      </c>
      <c r="B194" s="1">
        <v>92.67</v>
      </c>
      <c r="C194" s="3">
        <v>0.95</v>
      </c>
      <c r="D194" s="11">
        <f t="shared" si="11"/>
        <v>7.9166666666666665E-4</v>
      </c>
      <c r="E194" s="4">
        <v>2471.65</v>
      </c>
      <c r="F194" s="17">
        <v>106.47</v>
      </c>
      <c r="G194" s="31">
        <f t="shared" si="13"/>
        <v>-0.10461693717937935</v>
      </c>
      <c r="H194" s="26">
        <f t="shared" si="14"/>
        <v>5.4649232886690234E-4</v>
      </c>
      <c r="I194" s="28">
        <f t="shared" si="12"/>
        <v>-2.0460908895110676E-3</v>
      </c>
    </row>
    <row r="195" spans="1:9" x14ac:dyDescent="0.2">
      <c r="A195" s="2">
        <v>43008</v>
      </c>
      <c r="B195" s="1">
        <v>93.08</v>
      </c>
      <c r="C195" s="3">
        <v>0.96</v>
      </c>
      <c r="D195" s="11">
        <f t="shared" ref="D195:D258" si="15">C195/12/100</f>
        <v>8.0000000000000004E-4</v>
      </c>
      <c r="E195" s="4">
        <v>2519.36</v>
      </c>
      <c r="F195" s="17">
        <v>109.32</v>
      </c>
      <c r="G195" s="31">
        <f t="shared" si="13"/>
        <v>2.6768103691180562E-2</v>
      </c>
      <c r="H195" s="26">
        <f t="shared" si="14"/>
        <v>1.9302894827342074E-2</v>
      </c>
      <c r="I195" s="28">
        <f t="shared" ref="I195:I258" si="16">(B195-B194)/B194</f>
        <v>4.4243012841264336E-3</v>
      </c>
    </row>
    <row r="196" spans="1:9" x14ac:dyDescent="0.2">
      <c r="A196" s="2">
        <v>43039</v>
      </c>
      <c r="B196" s="1">
        <v>94.55</v>
      </c>
      <c r="C196" s="3">
        <v>0.99</v>
      </c>
      <c r="D196" s="11">
        <f t="shared" si="15"/>
        <v>8.25E-4</v>
      </c>
      <c r="E196" s="4">
        <v>2575.2600000000002</v>
      </c>
      <c r="F196" s="17">
        <v>116.26</v>
      </c>
      <c r="G196" s="31">
        <f t="shared" ref="G196:G259" si="17">(F196-F195)/F195</f>
        <v>6.3483351628247461E-2</v>
      </c>
      <c r="H196" s="26">
        <f t="shared" ref="H196:H259" si="18">(E196-E195)/E195</f>
        <v>2.218817477454595E-2</v>
      </c>
      <c r="I196" s="28">
        <f t="shared" si="16"/>
        <v>1.5792866351525558E-2</v>
      </c>
    </row>
    <row r="197" spans="1:9" x14ac:dyDescent="0.2">
      <c r="A197" s="2">
        <v>43069</v>
      </c>
      <c r="B197" s="1">
        <v>93.05</v>
      </c>
      <c r="C197" s="3">
        <v>1.1399999999999999</v>
      </c>
      <c r="D197" s="11">
        <f t="shared" si="15"/>
        <v>9.4999999999999989E-4</v>
      </c>
      <c r="E197" s="4">
        <v>2647.58</v>
      </c>
      <c r="F197" s="17">
        <v>114.46</v>
      </c>
      <c r="G197" s="31">
        <f t="shared" si="17"/>
        <v>-1.548253913641847E-2</v>
      </c>
      <c r="H197" s="26">
        <f t="shared" si="18"/>
        <v>2.8082601368405406E-2</v>
      </c>
      <c r="I197" s="28">
        <f t="shared" si="16"/>
        <v>-1.5864621893178214E-2</v>
      </c>
    </row>
    <row r="198" spans="1:9" x14ac:dyDescent="0.2">
      <c r="A198" s="2">
        <v>43100</v>
      </c>
      <c r="B198" s="1">
        <v>92.12</v>
      </c>
      <c r="C198" s="3">
        <v>1.28</v>
      </c>
      <c r="D198" s="11">
        <f t="shared" si="15"/>
        <v>1.0666666666666667E-3</v>
      </c>
      <c r="E198" s="4">
        <v>2673.61</v>
      </c>
      <c r="F198" s="17">
        <v>117.19</v>
      </c>
      <c r="G198" s="31">
        <f t="shared" si="17"/>
        <v>2.3851127031277338E-2</v>
      </c>
      <c r="H198" s="26">
        <f t="shared" si="18"/>
        <v>9.8316198188535195E-3</v>
      </c>
      <c r="I198" s="28">
        <f t="shared" si="16"/>
        <v>-9.9946265448682715E-3</v>
      </c>
    </row>
    <row r="199" spans="1:9" x14ac:dyDescent="0.2">
      <c r="A199" s="2">
        <v>43131</v>
      </c>
      <c r="B199" s="1">
        <v>89.13</v>
      </c>
      <c r="C199" s="3">
        <v>1.43</v>
      </c>
      <c r="D199" s="11">
        <f t="shared" si="15"/>
        <v>1.1916666666666666E-3</v>
      </c>
      <c r="E199" s="4">
        <v>2823.81</v>
      </c>
      <c r="F199" s="17">
        <v>123.63</v>
      </c>
      <c r="G199" s="31">
        <f t="shared" si="17"/>
        <v>5.495349432545437E-2</v>
      </c>
      <c r="H199" s="26">
        <f t="shared" si="18"/>
        <v>5.6178724645703677E-2</v>
      </c>
      <c r="I199" s="28">
        <f t="shared" si="16"/>
        <v>-3.2457663916630582E-2</v>
      </c>
    </row>
    <row r="200" spans="1:9" x14ac:dyDescent="0.2">
      <c r="A200" s="2">
        <v>43159</v>
      </c>
      <c r="B200" s="1">
        <v>90.61</v>
      </c>
      <c r="C200" s="3">
        <v>1.5</v>
      </c>
      <c r="D200" s="11">
        <f t="shared" si="15"/>
        <v>1.25E-3</v>
      </c>
      <c r="E200" s="4">
        <v>2713.83</v>
      </c>
      <c r="F200" s="17">
        <v>115.32</v>
      </c>
      <c r="G200" s="31">
        <f t="shared" si="17"/>
        <v>-6.7216694976947364E-2</v>
      </c>
      <c r="H200" s="26">
        <f t="shared" si="18"/>
        <v>-3.8947379604151844E-2</v>
      </c>
      <c r="I200" s="28">
        <f t="shared" si="16"/>
        <v>1.660495904858077E-2</v>
      </c>
    </row>
    <row r="201" spans="1:9" x14ac:dyDescent="0.2">
      <c r="A201" s="2">
        <v>43190</v>
      </c>
      <c r="B201" s="1">
        <v>89.97</v>
      </c>
      <c r="C201" s="3">
        <v>1.63</v>
      </c>
      <c r="D201" s="11">
        <f t="shared" si="15"/>
        <v>1.3583333333333334E-3</v>
      </c>
      <c r="E201" s="4">
        <v>2640.87</v>
      </c>
      <c r="F201" s="17">
        <v>113.48</v>
      </c>
      <c r="G201" s="31">
        <f t="shared" si="17"/>
        <v>-1.5955601803676632E-2</v>
      </c>
      <c r="H201" s="26">
        <f t="shared" si="18"/>
        <v>-2.6884513768364281E-2</v>
      </c>
      <c r="I201" s="28">
        <f t="shared" si="16"/>
        <v>-7.0632380531950182E-3</v>
      </c>
    </row>
    <row r="202" spans="1:9" x14ac:dyDescent="0.2">
      <c r="A202" s="2">
        <v>43220</v>
      </c>
      <c r="B202" s="1">
        <v>91.84</v>
      </c>
      <c r="C202" s="3">
        <v>1.65</v>
      </c>
      <c r="D202" s="11">
        <f t="shared" si="15"/>
        <v>1.3749999999999999E-3</v>
      </c>
      <c r="E202" s="4">
        <v>2648.05</v>
      </c>
      <c r="F202" s="17">
        <v>118.08</v>
      </c>
      <c r="G202" s="31">
        <f t="shared" si="17"/>
        <v>4.0535777229467697E-2</v>
      </c>
      <c r="H202" s="26">
        <f t="shared" si="18"/>
        <v>2.718801001185326E-3</v>
      </c>
      <c r="I202" s="28">
        <f t="shared" si="16"/>
        <v>2.0784706013115533E-2</v>
      </c>
    </row>
    <row r="203" spans="1:9" x14ac:dyDescent="0.2">
      <c r="A203" s="2">
        <v>43251</v>
      </c>
      <c r="B203" s="1">
        <v>93.98</v>
      </c>
      <c r="C203" s="3">
        <v>1.76</v>
      </c>
      <c r="D203" s="11">
        <f t="shared" si="15"/>
        <v>1.4666666666666667E-3</v>
      </c>
      <c r="E203" s="4">
        <v>2705.27</v>
      </c>
      <c r="F203" s="17">
        <v>130.02000000000001</v>
      </c>
      <c r="G203" s="31">
        <f t="shared" si="17"/>
        <v>0.10111788617886189</v>
      </c>
      <c r="H203" s="26">
        <f t="shared" si="18"/>
        <v>2.1608353316591378E-2</v>
      </c>
      <c r="I203" s="28">
        <f t="shared" si="16"/>
        <v>2.3301393728223003E-2</v>
      </c>
    </row>
    <row r="204" spans="1:9" x14ac:dyDescent="0.2">
      <c r="A204" s="2">
        <v>43281</v>
      </c>
      <c r="B204" s="1">
        <v>94.64</v>
      </c>
      <c r="C204" s="3">
        <v>1.77</v>
      </c>
      <c r="D204" s="11">
        <f t="shared" si="15"/>
        <v>1.475E-3</v>
      </c>
      <c r="E204" s="4">
        <v>2718.37</v>
      </c>
      <c r="F204" s="17">
        <v>134.13999999999999</v>
      </c>
      <c r="G204" s="31">
        <f t="shared" si="17"/>
        <v>3.1687432702660945E-2</v>
      </c>
      <c r="H204" s="26">
        <f t="shared" si="18"/>
        <v>4.842400204046143E-3</v>
      </c>
      <c r="I204" s="28">
        <f t="shared" si="16"/>
        <v>7.0227708022983244E-3</v>
      </c>
    </row>
    <row r="205" spans="1:9" x14ac:dyDescent="0.2">
      <c r="A205" s="2">
        <v>43312</v>
      </c>
      <c r="B205" s="1">
        <v>94.49</v>
      </c>
      <c r="C205" s="3">
        <v>1.94</v>
      </c>
      <c r="D205" s="11">
        <f t="shared" si="15"/>
        <v>1.6166666666666664E-3</v>
      </c>
      <c r="E205" s="4">
        <v>2816.29</v>
      </c>
      <c r="F205" s="17">
        <v>134.99</v>
      </c>
      <c r="G205" s="31">
        <f t="shared" si="17"/>
        <v>6.3366631877144987E-3</v>
      </c>
      <c r="H205" s="26">
        <f t="shared" si="18"/>
        <v>3.6021586465418642E-2</v>
      </c>
      <c r="I205" s="28">
        <f t="shared" si="16"/>
        <v>-1.5849535080304912E-3</v>
      </c>
    </row>
    <row r="206" spans="1:9" x14ac:dyDescent="0.2">
      <c r="A206" s="2">
        <v>43343</v>
      </c>
      <c r="B206" s="1">
        <v>95.14</v>
      </c>
      <c r="C206" s="3">
        <v>1.95</v>
      </c>
      <c r="D206" s="11">
        <f t="shared" si="15"/>
        <v>1.6250000000000001E-3</v>
      </c>
      <c r="E206" s="4">
        <v>2901.52</v>
      </c>
      <c r="F206" s="17">
        <v>146.75</v>
      </c>
      <c r="G206" s="31">
        <f t="shared" si="17"/>
        <v>8.7117564264019481E-2</v>
      </c>
      <c r="H206" s="26">
        <f t="shared" si="18"/>
        <v>3.0263218631603996E-2</v>
      </c>
      <c r="I206" s="28">
        <f t="shared" si="16"/>
        <v>6.8790348184993725E-3</v>
      </c>
    </row>
    <row r="207" spans="1:9" x14ac:dyDescent="0.2">
      <c r="A207" s="2">
        <v>43373</v>
      </c>
      <c r="B207" s="1">
        <v>95.13</v>
      </c>
      <c r="C207" s="3">
        <v>2.12</v>
      </c>
      <c r="D207" s="11">
        <f t="shared" si="15"/>
        <v>1.7666666666666666E-3</v>
      </c>
      <c r="E207" s="4">
        <v>2913.98</v>
      </c>
      <c r="F207" s="17">
        <v>150.66</v>
      </c>
      <c r="G207" s="31">
        <f t="shared" si="17"/>
        <v>2.6643952299829618E-2</v>
      </c>
      <c r="H207" s="26">
        <f t="shared" si="18"/>
        <v>4.2943009181394707E-3</v>
      </c>
      <c r="I207" s="28">
        <f t="shared" si="16"/>
        <v>-1.051082615094084E-4</v>
      </c>
    </row>
    <row r="208" spans="1:9" x14ac:dyDescent="0.2">
      <c r="A208" s="2">
        <v>43404</v>
      </c>
      <c r="B208" s="1">
        <v>97.13</v>
      </c>
      <c r="C208" s="3">
        <v>2.2000000000000002</v>
      </c>
      <c r="D208" s="11">
        <f t="shared" si="15"/>
        <v>1.8333333333333335E-3</v>
      </c>
      <c r="E208" s="4">
        <v>2711.74</v>
      </c>
      <c r="F208" s="17">
        <v>144.08000000000001</v>
      </c>
      <c r="G208" s="31">
        <f t="shared" si="17"/>
        <v>-4.3674498871631384E-2</v>
      </c>
      <c r="H208" s="26">
        <f t="shared" si="18"/>
        <v>-6.9403358979814631E-2</v>
      </c>
      <c r="I208" s="28">
        <f t="shared" si="16"/>
        <v>2.1023862083464732E-2</v>
      </c>
    </row>
    <row r="209" spans="1:9" x14ac:dyDescent="0.2">
      <c r="A209" s="2">
        <v>43434</v>
      </c>
      <c r="B209" s="1">
        <v>97.27</v>
      </c>
      <c r="C209" s="3">
        <v>2.31</v>
      </c>
      <c r="D209" s="11">
        <f t="shared" si="15"/>
        <v>1.9250000000000001E-3</v>
      </c>
      <c r="E209" s="4">
        <v>2760.17</v>
      </c>
      <c r="F209" s="17">
        <v>147.41999999999999</v>
      </c>
      <c r="G209" s="31">
        <f t="shared" si="17"/>
        <v>2.318156579677939E-2</v>
      </c>
      <c r="H209" s="26">
        <f t="shared" si="18"/>
        <v>1.7859381799140144E-2</v>
      </c>
      <c r="I209" s="28">
        <f t="shared" si="16"/>
        <v>1.4413672397817418E-3</v>
      </c>
    </row>
    <row r="210" spans="1:9" x14ac:dyDescent="0.2">
      <c r="A210" s="2">
        <v>43465</v>
      </c>
      <c r="B210" s="1">
        <v>96.17</v>
      </c>
      <c r="C210" s="3">
        <v>2.44</v>
      </c>
      <c r="D210" s="11">
        <f t="shared" si="15"/>
        <v>2.0333333333333332E-3</v>
      </c>
      <c r="E210" s="4">
        <v>2506.85</v>
      </c>
      <c r="F210" s="17">
        <v>131.12</v>
      </c>
      <c r="G210" s="31">
        <f t="shared" si="17"/>
        <v>-0.11056844390177713</v>
      </c>
      <c r="H210" s="26">
        <f t="shared" si="18"/>
        <v>-9.1776955767217297E-2</v>
      </c>
      <c r="I210" s="28">
        <f t="shared" si="16"/>
        <v>-1.130872828210131E-2</v>
      </c>
    </row>
    <row r="211" spans="1:9" x14ac:dyDescent="0.2">
      <c r="A211" s="2">
        <v>43496</v>
      </c>
      <c r="B211" s="1">
        <v>95.58</v>
      </c>
      <c r="C211" s="3">
        <v>2.42</v>
      </c>
      <c r="D211" s="11">
        <f t="shared" si="15"/>
        <v>2.0166666666666666E-3</v>
      </c>
      <c r="E211" s="4">
        <v>2704.1</v>
      </c>
      <c r="F211" s="17">
        <v>139.84</v>
      </c>
      <c r="G211" s="31">
        <f t="shared" si="17"/>
        <v>6.6503965832824877E-2</v>
      </c>
      <c r="H211" s="26">
        <f t="shared" si="18"/>
        <v>7.8684404731036967E-2</v>
      </c>
      <c r="I211" s="28">
        <f t="shared" si="16"/>
        <v>-6.1349693251534099E-3</v>
      </c>
    </row>
    <row r="212" spans="1:9" x14ac:dyDescent="0.2">
      <c r="A212" s="2">
        <v>43524</v>
      </c>
      <c r="B212" s="1">
        <v>96.16</v>
      </c>
      <c r="C212" s="3">
        <v>2.44</v>
      </c>
      <c r="D212" s="11">
        <f t="shared" si="15"/>
        <v>2.0333333333333332E-3</v>
      </c>
      <c r="E212" s="4">
        <v>2784.49</v>
      </c>
      <c r="F212" s="17">
        <v>153.03</v>
      </c>
      <c r="G212" s="31">
        <f t="shared" si="17"/>
        <v>9.4322082379862685E-2</v>
      </c>
      <c r="H212" s="26">
        <f t="shared" si="18"/>
        <v>2.9728930143115964E-2</v>
      </c>
      <c r="I212" s="28">
        <f t="shared" si="16"/>
        <v>6.0682151077631127E-3</v>
      </c>
    </row>
    <row r="213" spans="1:9" x14ac:dyDescent="0.2">
      <c r="A213" s="2">
        <v>43555</v>
      </c>
      <c r="B213" s="1">
        <v>97.28</v>
      </c>
      <c r="C213" s="3">
        <v>2.4300000000000002</v>
      </c>
      <c r="D213" s="11">
        <f t="shared" si="15"/>
        <v>2.0250000000000003E-3</v>
      </c>
      <c r="E213" s="4">
        <v>2834.4</v>
      </c>
      <c r="F213" s="17">
        <v>159.74</v>
      </c>
      <c r="G213" s="31">
        <f t="shared" si="17"/>
        <v>4.3847611579428923E-2</v>
      </c>
      <c r="H213" s="26">
        <f t="shared" si="18"/>
        <v>1.7924287751078408E-2</v>
      </c>
      <c r="I213" s="28">
        <f t="shared" si="16"/>
        <v>1.1647254575707202E-2</v>
      </c>
    </row>
    <row r="214" spans="1:9" x14ac:dyDescent="0.2">
      <c r="A214" s="2">
        <v>43585</v>
      </c>
      <c r="B214" s="1">
        <v>97.48</v>
      </c>
      <c r="C214" s="3">
        <v>2.4300000000000002</v>
      </c>
      <c r="D214" s="11">
        <f t="shared" si="15"/>
        <v>2.0250000000000003E-3</v>
      </c>
      <c r="E214" s="4">
        <v>2945.83</v>
      </c>
      <c r="F214" s="17">
        <v>164.39</v>
      </c>
      <c r="G214" s="31">
        <f t="shared" si="17"/>
        <v>2.9109803430574541E-2</v>
      </c>
      <c r="H214" s="26">
        <f t="shared" si="18"/>
        <v>3.9313434942139368E-2</v>
      </c>
      <c r="I214" s="28">
        <f t="shared" si="16"/>
        <v>2.0559210526316083E-3</v>
      </c>
    </row>
    <row r="215" spans="1:9" x14ac:dyDescent="0.2">
      <c r="A215" s="2">
        <v>43616</v>
      </c>
      <c r="B215" s="1">
        <v>97.75</v>
      </c>
      <c r="C215" s="3">
        <v>2.35</v>
      </c>
      <c r="D215" s="11">
        <f t="shared" si="15"/>
        <v>1.9583333333333332E-3</v>
      </c>
      <c r="E215" s="4">
        <v>2752.06</v>
      </c>
      <c r="F215" s="17">
        <v>160.12</v>
      </c>
      <c r="G215" s="31">
        <f t="shared" si="17"/>
        <v>-2.5974815986373759E-2</v>
      </c>
      <c r="H215" s="26">
        <f t="shared" si="18"/>
        <v>-6.5777726481161508E-2</v>
      </c>
      <c r="I215" s="28">
        <f t="shared" si="16"/>
        <v>2.7697989331144442E-3</v>
      </c>
    </row>
    <row r="216" spans="1:9" x14ac:dyDescent="0.2">
      <c r="A216" s="2">
        <v>43646</v>
      </c>
      <c r="B216" s="1">
        <v>96.13</v>
      </c>
      <c r="C216" s="3">
        <v>2.1800000000000002</v>
      </c>
      <c r="D216" s="11">
        <f t="shared" si="15"/>
        <v>1.8166666666666667E-3</v>
      </c>
      <c r="E216" s="4">
        <v>2941.76</v>
      </c>
      <c r="F216" s="17">
        <v>165.33</v>
      </c>
      <c r="G216" s="31">
        <f t="shared" si="17"/>
        <v>3.253809642767929E-2</v>
      </c>
      <c r="H216" s="26">
        <f t="shared" si="18"/>
        <v>6.8930183208215035E-2</v>
      </c>
      <c r="I216" s="28">
        <f t="shared" si="16"/>
        <v>-1.6572890025575493E-2</v>
      </c>
    </row>
    <row r="217" spans="1:9" x14ac:dyDescent="0.2">
      <c r="A217" s="2">
        <v>43677</v>
      </c>
      <c r="B217" s="1">
        <v>98.52</v>
      </c>
      <c r="C217" s="3">
        <v>2.0099999999999998</v>
      </c>
      <c r="D217" s="11">
        <f t="shared" si="15"/>
        <v>1.6749999999999998E-3</v>
      </c>
      <c r="E217" s="4">
        <v>2980.38</v>
      </c>
      <c r="F217" s="17">
        <v>166.52</v>
      </c>
      <c r="G217" s="31">
        <f t="shared" si="17"/>
        <v>7.1977257605999982E-3</v>
      </c>
      <c r="H217" s="26">
        <f t="shared" si="18"/>
        <v>1.312819536603934E-2</v>
      </c>
      <c r="I217" s="28">
        <f t="shared" si="16"/>
        <v>2.4862165817122653E-2</v>
      </c>
    </row>
    <row r="218" spans="1:9" x14ac:dyDescent="0.2">
      <c r="A218" s="2">
        <v>43708</v>
      </c>
      <c r="B218" s="1">
        <v>98.92</v>
      </c>
      <c r="C218" s="3">
        <v>2.1</v>
      </c>
      <c r="D218" s="11">
        <f t="shared" si="15"/>
        <v>1.7500000000000003E-3</v>
      </c>
      <c r="E218" s="4">
        <v>2926.46</v>
      </c>
      <c r="F218" s="17">
        <v>169.84</v>
      </c>
      <c r="G218" s="31">
        <f t="shared" si="17"/>
        <v>1.9937545039634838E-2</v>
      </c>
      <c r="H218" s="26">
        <f t="shared" si="18"/>
        <v>-1.8091652742267789E-2</v>
      </c>
      <c r="I218" s="28">
        <f t="shared" si="16"/>
        <v>4.0600893219651414E-3</v>
      </c>
    </row>
    <row r="219" spans="1:9" x14ac:dyDescent="0.2">
      <c r="A219" s="2">
        <v>43738</v>
      </c>
      <c r="B219" s="1">
        <v>99.38</v>
      </c>
      <c r="C219" s="3">
        <v>1.91</v>
      </c>
      <c r="D219" s="11">
        <f t="shared" si="15"/>
        <v>1.5916666666666666E-3</v>
      </c>
      <c r="E219" s="4">
        <v>2976.74</v>
      </c>
      <c r="F219" s="17">
        <v>161.41999999999999</v>
      </c>
      <c r="G219" s="31">
        <f t="shared" si="17"/>
        <v>-4.9576071596797076E-2</v>
      </c>
      <c r="H219" s="26">
        <f t="shared" si="18"/>
        <v>1.7181167690656883E-2</v>
      </c>
      <c r="I219" s="28">
        <f t="shared" si="16"/>
        <v>4.6502224019408988E-3</v>
      </c>
    </row>
    <row r="220" spans="1:9" x14ac:dyDescent="0.2">
      <c r="A220" s="2">
        <v>43769</v>
      </c>
      <c r="B220" s="1">
        <v>97.35</v>
      </c>
      <c r="C220" s="3">
        <v>1.59</v>
      </c>
      <c r="D220" s="11">
        <f t="shared" si="15"/>
        <v>1.325E-3</v>
      </c>
      <c r="E220" s="4">
        <v>3037.56</v>
      </c>
      <c r="F220" s="17">
        <v>162.22999999999999</v>
      </c>
      <c r="G220" s="31">
        <f t="shared" si="17"/>
        <v>5.0179655556932372E-3</v>
      </c>
      <c r="H220" s="26">
        <f t="shared" si="18"/>
        <v>2.0431747482144953E-2</v>
      </c>
      <c r="I220" s="28">
        <f t="shared" si="16"/>
        <v>-2.0426645200241511E-2</v>
      </c>
    </row>
    <row r="221" spans="1:9" x14ac:dyDescent="0.2">
      <c r="A221" s="2">
        <v>43799</v>
      </c>
      <c r="B221" s="1">
        <v>98.27</v>
      </c>
      <c r="C221" s="3">
        <v>1.62</v>
      </c>
      <c r="D221" s="11">
        <f t="shared" si="15"/>
        <v>1.3500000000000001E-3</v>
      </c>
      <c r="E221" s="4">
        <v>3140.98</v>
      </c>
      <c r="F221" s="17">
        <v>170.78</v>
      </c>
      <c r="G221" s="31">
        <f t="shared" si="17"/>
        <v>5.2702952598163176E-2</v>
      </c>
      <c r="H221" s="26">
        <f t="shared" si="18"/>
        <v>3.4047064090915104E-2</v>
      </c>
      <c r="I221" s="28">
        <f t="shared" si="16"/>
        <v>9.4504365690806554E-3</v>
      </c>
    </row>
    <row r="222" spans="1:9" x14ac:dyDescent="0.2">
      <c r="A222" s="2">
        <v>43830</v>
      </c>
      <c r="B222" s="1">
        <v>96.39</v>
      </c>
      <c r="C222" s="3">
        <v>1.48</v>
      </c>
      <c r="D222" s="11">
        <f t="shared" si="15"/>
        <v>1.2333333333333335E-3</v>
      </c>
      <c r="E222" s="4">
        <v>3230.78</v>
      </c>
      <c r="F222" s="17">
        <v>170.5</v>
      </c>
      <c r="G222" s="31">
        <f t="shared" si="17"/>
        <v>-1.6395362454620045E-3</v>
      </c>
      <c r="H222" s="26">
        <f t="shared" si="18"/>
        <v>2.8589803182446302E-2</v>
      </c>
      <c r="I222" s="28">
        <f t="shared" si="16"/>
        <v>-1.913096570672632E-2</v>
      </c>
    </row>
    <row r="223" spans="1:9" x14ac:dyDescent="0.2">
      <c r="A223" s="2">
        <v>43861</v>
      </c>
      <c r="B223" s="1">
        <v>97.39</v>
      </c>
      <c r="C223" s="3">
        <v>1.56</v>
      </c>
      <c r="D223" s="11">
        <f t="shared" si="15"/>
        <v>1.2999999999999999E-3</v>
      </c>
      <c r="E223" s="4">
        <v>3225.52</v>
      </c>
      <c r="F223" s="17">
        <v>171.39</v>
      </c>
      <c r="G223" s="31">
        <f t="shared" si="17"/>
        <v>5.2199413489735268E-3</v>
      </c>
      <c r="H223" s="26">
        <f t="shared" si="18"/>
        <v>-1.6280898111292685E-3</v>
      </c>
      <c r="I223" s="28">
        <f t="shared" si="16"/>
        <v>1.0374520178441747E-2</v>
      </c>
    </row>
    <row r="224" spans="1:9" x14ac:dyDescent="0.2">
      <c r="A224" s="2">
        <v>43890</v>
      </c>
      <c r="B224" s="1">
        <v>98.13</v>
      </c>
      <c r="C224" s="3">
        <v>1.45</v>
      </c>
      <c r="D224" s="11">
        <f t="shared" si="15"/>
        <v>1.2083333333333334E-3</v>
      </c>
      <c r="E224" s="4">
        <v>2954.22</v>
      </c>
      <c r="F224" s="17">
        <v>154.74</v>
      </c>
      <c r="G224" s="31">
        <f t="shared" si="17"/>
        <v>-9.7146858043059559E-2</v>
      </c>
      <c r="H224" s="26">
        <f t="shared" si="18"/>
        <v>-8.4110469009648109E-2</v>
      </c>
      <c r="I224" s="28">
        <f t="shared" si="16"/>
        <v>7.5983160488756023E-3</v>
      </c>
    </row>
    <row r="225" spans="1:9" x14ac:dyDescent="0.2">
      <c r="A225" s="2">
        <v>43921</v>
      </c>
      <c r="B225" s="1">
        <v>99.05</v>
      </c>
      <c r="C225" s="3">
        <v>0.05</v>
      </c>
      <c r="D225" s="11">
        <f t="shared" si="15"/>
        <v>4.1666666666666665E-5</v>
      </c>
      <c r="E225" s="4">
        <v>2584.59</v>
      </c>
      <c r="F225" s="17">
        <v>136.68</v>
      </c>
      <c r="G225" s="31">
        <f t="shared" si="17"/>
        <v>-0.11671190383869717</v>
      </c>
      <c r="H225" s="26">
        <f t="shared" si="18"/>
        <v>-0.12511932083595659</v>
      </c>
      <c r="I225" s="28">
        <f t="shared" si="16"/>
        <v>9.3753184551105852E-3</v>
      </c>
    </row>
    <row r="226" spans="1:9" x14ac:dyDescent="0.2">
      <c r="A226" s="2">
        <v>43951</v>
      </c>
      <c r="B226" s="1">
        <v>99.02</v>
      </c>
      <c r="C226" s="3">
        <v>0.1</v>
      </c>
      <c r="D226" s="11">
        <f t="shared" si="15"/>
        <v>8.3333333333333331E-5</v>
      </c>
      <c r="E226" s="4">
        <v>2912.43</v>
      </c>
      <c r="F226" s="17">
        <v>146.69</v>
      </c>
      <c r="G226" s="31">
        <f t="shared" si="17"/>
        <v>7.32367573895229E-2</v>
      </c>
      <c r="H226" s="26">
        <f t="shared" si="18"/>
        <v>0.12684410293315368</v>
      </c>
      <c r="I226" s="28">
        <f t="shared" si="16"/>
        <v>-3.0287733467946633E-4</v>
      </c>
    </row>
    <row r="227" spans="1:9" x14ac:dyDescent="0.2">
      <c r="A227" s="2">
        <v>43982</v>
      </c>
      <c r="B227" s="1">
        <v>98.34</v>
      </c>
      <c r="C227" s="3">
        <v>0.13</v>
      </c>
      <c r="D227" s="11">
        <f t="shared" si="15"/>
        <v>1.0833333333333334E-4</v>
      </c>
      <c r="E227" s="4">
        <v>3044.31</v>
      </c>
      <c r="F227" s="17">
        <v>146.49</v>
      </c>
      <c r="G227" s="31">
        <f t="shared" si="17"/>
        <v>-1.3634194559955595E-3</v>
      </c>
      <c r="H227" s="26">
        <f t="shared" si="18"/>
        <v>4.5281775012618368E-2</v>
      </c>
      <c r="I227" s="28">
        <f t="shared" si="16"/>
        <v>-6.8672995354473101E-3</v>
      </c>
    </row>
    <row r="228" spans="1:9" x14ac:dyDescent="0.2">
      <c r="A228" s="2">
        <v>44012</v>
      </c>
      <c r="B228" s="1">
        <v>97.39</v>
      </c>
      <c r="C228" s="3">
        <v>0.13</v>
      </c>
      <c r="D228" s="11">
        <f t="shared" si="15"/>
        <v>1.0833333333333334E-4</v>
      </c>
      <c r="E228" s="4">
        <v>3100.29</v>
      </c>
      <c r="F228" s="17">
        <v>148.88999999999999</v>
      </c>
      <c r="G228" s="31">
        <f t="shared" si="17"/>
        <v>1.6383370878558106E-2</v>
      </c>
      <c r="H228" s="26">
        <f t="shared" si="18"/>
        <v>1.838840328350267E-2</v>
      </c>
      <c r="I228" s="28">
        <f t="shared" si="16"/>
        <v>-9.660362009355326E-3</v>
      </c>
    </row>
    <row r="229" spans="1:9" x14ac:dyDescent="0.2">
      <c r="A229" s="2">
        <v>44043</v>
      </c>
      <c r="B229" s="1">
        <v>93.35</v>
      </c>
      <c r="C229" s="3">
        <v>0.09</v>
      </c>
      <c r="D229" s="11">
        <f t="shared" si="15"/>
        <v>7.4999999999999993E-5</v>
      </c>
      <c r="E229" s="4">
        <v>3271.12</v>
      </c>
      <c r="F229" s="17">
        <v>132.91</v>
      </c>
      <c r="G229" s="31">
        <f t="shared" si="17"/>
        <v>-0.10732755725703534</v>
      </c>
      <c r="H229" s="26">
        <f t="shared" si="18"/>
        <v>5.5101296975444213E-2</v>
      </c>
      <c r="I229" s="28">
        <f t="shared" si="16"/>
        <v>-4.1482698428996878E-2</v>
      </c>
    </row>
    <row r="230" spans="1:9" x14ac:dyDescent="0.2">
      <c r="A230" s="2">
        <v>44074</v>
      </c>
      <c r="B230" s="1">
        <v>92.14</v>
      </c>
      <c r="C230" s="3">
        <v>0.08</v>
      </c>
      <c r="D230" s="11">
        <f t="shared" si="15"/>
        <v>6.666666666666667E-5</v>
      </c>
      <c r="E230" s="4">
        <v>3500.31</v>
      </c>
      <c r="F230" s="17">
        <v>139.09</v>
      </c>
      <c r="G230" s="31">
        <f t="shared" si="17"/>
        <v>4.649762997517122E-2</v>
      </c>
      <c r="H230" s="26">
        <f t="shared" si="18"/>
        <v>7.0064687324219249E-2</v>
      </c>
      <c r="I230" s="28">
        <f t="shared" si="16"/>
        <v>-1.2961971076593399E-2</v>
      </c>
    </row>
    <row r="231" spans="1:9" x14ac:dyDescent="0.2">
      <c r="A231" s="2">
        <v>44104</v>
      </c>
      <c r="B231" s="1">
        <v>93.89</v>
      </c>
      <c r="C231" s="3">
        <v>0.08</v>
      </c>
      <c r="D231" s="11">
        <f t="shared" si="15"/>
        <v>6.666666666666667E-5</v>
      </c>
      <c r="E231" s="4">
        <v>3363</v>
      </c>
      <c r="F231" s="17">
        <v>139.49</v>
      </c>
      <c r="G231" s="31">
        <f t="shared" si="17"/>
        <v>2.8758357897764445E-3</v>
      </c>
      <c r="H231" s="26">
        <f t="shared" si="18"/>
        <v>-3.9227954095494386E-2</v>
      </c>
      <c r="I231" s="28">
        <f t="shared" si="16"/>
        <v>1.8992836987193402E-2</v>
      </c>
    </row>
    <row r="232" spans="1:9" x14ac:dyDescent="0.2">
      <c r="A232" s="2">
        <v>44135</v>
      </c>
      <c r="B232" s="1">
        <v>94.04</v>
      </c>
      <c r="C232" s="3">
        <v>0.08</v>
      </c>
      <c r="D232" s="11">
        <f t="shared" si="15"/>
        <v>6.666666666666667E-5</v>
      </c>
      <c r="E232" s="4">
        <v>3269.96</v>
      </c>
      <c r="F232" s="17">
        <v>157.96</v>
      </c>
      <c r="G232" s="31">
        <f t="shared" si="17"/>
        <v>0.13241092551437378</v>
      </c>
      <c r="H232" s="26">
        <f t="shared" si="18"/>
        <v>-2.766577460600653E-2</v>
      </c>
      <c r="I232" s="28">
        <f t="shared" si="16"/>
        <v>1.5976142294174638E-3</v>
      </c>
    </row>
    <row r="233" spans="1:9" x14ac:dyDescent="0.2">
      <c r="A233" s="2">
        <v>44165</v>
      </c>
      <c r="B233" s="1">
        <v>91.87</v>
      </c>
      <c r="C233" s="3">
        <v>0.08</v>
      </c>
      <c r="D233" s="11">
        <f t="shared" si="15"/>
        <v>6.666666666666667E-5</v>
      </c>
      <c r="E233" s="4">
        <v>3621.63</v>
      </c>
      <c r="F233" s="17">
        <v>173.88</v>
      </c>
      <c r="G233" s="31">
        <f t="shared" si="17"/>
        <v>0.10078500886300321</v>
      </c>
      <c r="H233" s="26">
        <f t="shared" si="18"/>
        <v>0.10754565805086302</v>
      </c>
      <c r="I233" s="28">
        <f t="shared" si="16"/>
        <v>-2.3075287111867307E-2</v>
      </c>
    </row>
    <row r="234" spans="1:9" x14ac:dyDescent="0.2">
      <c r="A234" s="2">
        <v>44196</v>
      </c>
      <c r="B234" s="1">
        <v>89.94</v>
      </c>
      <c r="C234" s="3">
        <v>0.08</v>
      </c>
      <c r="D234" s="11">
        <f t="shared" si="15"/>
        <v>6.666666666666667E-5</v>
      </c>
      <c r="E234" s="4">
        <v>3756.07</v>
      </c>
      <c r="F234" s="17">
        <v>176.2</v>
      </c>
      <c r="G234" s="31">
        <f t="shared" si="17"/>
        <v>1.3342535081665477E-2</v>
      </c>
      <c r="H234" s="26">
        <f t="shared" si="18"/>
        <v>3.7121406659432372E-2</v>
      </c>
      <c r="I234" s="28">
        <f t="shared" si="16"/>
        <v>-2.1007946010667321E-2</v>
      </c>
    </row>
    <row r="235" spans="1:9" x14ac:dyDescent="0.2">
      <c r="A235" s="2">
        <v>44227</v>
      </c>
      <c r="B235" s="1">
        <v>90.58</v>
      </c>
      <c r="C235" s="3">
        <v>7.0000000000000007E-2</v>
      </c>
      <c r="D235" s="11">
        <f t="shared" si="15"/>
        <v>5.8333333333333333E-5</v>
      </c>
      <c r="E235" s="4">
        <v>3714.24</v>
      </c>
      <c r="F235" s="17">
        <v>165.12</v>
      </c>
      <c r="G235" s="31">
        <f t="shared" si="17"/>
        <v>-6.2883087400680965E-2</v>
      </c>
      <c r="H235" s="26">
        <f t="shared" si="18"/>
        <v>-1.1136640158463601E-2</v>
      </c>
      <c r="I235" s="28">
        <f t="shared" si="16"/>
        <v>7.1158550144540872E-3</v>
      </c>
    </row>
    <row r="236" spans="1:9" x14ac:dyDescent="0.2">
      <c r="A236" s="2">
        <v>44255</v>
      </c>
      <c r="B236" s="1">
        <v>90.88</v>
      </c>
      <c r="C236" s="3">
        <v>0.04</v>
      </c>
      <c r="D236" s="11">
        <f t="shared" si="15"/>
        <v>3.3333333333333335E-5</v>
      </c>
      <c r="E236" s="4">
        <v>3811.15</v>
      </c>
      <c r="F236" s="17">
        <v>174.02</v>
      </c>
      <c r="G236" s="31">
        <f t="shared" si="17"/>
        <v>5.3900193798449646E-2</v>
      </c>
      <c r="H236" s="26">
        <f t="shared" si="18"/>
        <v>2.6091474971999741E-2</v>
      </c>
      <c r="I236" s="28">
        <f t="shared" si="16"/>
        <v>3.3119894016338833E-3</v>
      </c>
    </row>
    <row r="237" spans="1:9" x14ac:dyDescent="0.2">
      <c r="A237" s="2">
        <v>44286</v>
      </c>
      <c r="B237" s="1">
        <v>93.23</v>
      </c>
      <c r="C237" s="3">
        <v>0.01</v>
      </c>
      <c r="D237" s="11">
        <f t="shared" si="15"/>
        <v>8.3333333333333337E-6</v>
      </c>
      <c r="E237" s="4">
        <v>3972.89</v>
      </c>
      <c r="F237" s="17">
        <v>188.47</v>
      </c>
      <c r="G237" s="31">
        <f t="shared" si="17"/>
        <v>8.3036432593954643E-2</v>
      </c>
      <c r="H237" s="26">
        <f t="shared" si="18"/>
        <v>4.2438634008107733E-2</v>
      </c>
      <c r="I237" s="28">
        <f t="shared" si="16"/>
        <v>2.5858274647887418E-2</v>
      </c>
    </row>
    <row r="238" spans="1:9" x14ac:dyDescent="0.2">
      <c r="A238" s="2">
        <v>44316</v>
      </c>
      <c r="B238" s="1">
        <v>91.28</v>
      </c>
      <c r="C238" s="3">
        <v>0.01</v>
      </c>
      <c r="D238" s="11">
        <f t="shared" si="15"/>
        <v>8.3333333333333337E-6</v>
      </c>
      <c r="E238" s="4">
        <v>4181.17</v>
      </c>
      <c r="F238" s="17">
        <v>186.99</v>
      </c>
      <c r="G238" s="31">
        <f t="shared" si="17"/>
        <v>-7.8527086538971169E-3</v>
      </c>
      <c r="H238" s="26">
        <f t="shared" si="18"/>
        <v>5.2425312555847307E-2</v>
      </c>
      <c r="I238" s="28">
        <f t="shared" si="16"/>
        <v>-2.0916014158532691E-2</v>
      </c>
    </row>
    <row r="239" spans="1:9" x14ac:dyDescent="0.2">
      <c r="A239" s="2">
        <v>44347</v>
      </c>
      <c r="B239" s="1">
        <v>90.03</v>
      </c>
      <c r="C239" s="3">
        <v>0.01</v>
      </c>
      <c r="D239" s="11">
        <f t="shared" si="15"/>
        <v>8.3333333333333337E-6</v>
      </c>
      <c r="E239" s="4">
        <v>4204.1099999999997</v>
      </c>
      <c r="F239" s="17">
        <v>196.02</v>
      </c>
      <c r="G239" s="31">
        <f t="shared" si="17"/>
        <v>4.8291352478742181E-2</v>
      </c>
      <c r="H239" s="26">
        <f t="shared" si="18"/>
        <v>5.4865025818131288E-3</v>
      </c>
      <c r="I239" s="28">
        <f t="shared" si="16"/>
        <v>-1.3694127957931639E-2</v>
      </c>
    </row>
    <row r="240" spans="1:9" x14ac:dyDescent="0.2">
      <c r="A240" s="2">
        <v>44377</v>
      </c>
      <c r="B240" s="1">
        <v>92.44</v>
      </c>
      <c r="C240" s="3">
        <v>0.05</v>
      </c>
      <c r="D240" s="11">
        <f t="shared" si="15"/>
        <v>4.1666666666666665E-5</v>
      </c>
      <c r="E240" s="4">
        <v>4297.5</v>
      </c>
      <c r="F240" s="17">
        <v>198.62</v>
      </c>
      <c r="G240" s="31">
        <f t="shared" si="17"/>
        <v>1.3263952657892023E-2</v>
      </c>
      <c r="H240" s="26">
        <f t="shared" si="18"/>
        <v>2.221397632316955E-2</v>
      </c>
      <c r="I240" s="28">
        <f t="shared" si="16"/>
        <v>2.6768854826169017E-2</v>
      </c>
    </row>
    <row r="241" spans="1:9" x14ac:dyDescent="0.2">
      <c r="A241" s="2">
        <v>44408</v>
      </c>
      <c r="B241" s="1">
        <v>92.17</v>
      </c>
      <c r="C241" s="3">
        <v>0.05</v>
      </c>
      <c r="D241" s="11">
        <f t="shared" si="15"/>
        <v>4.1666666666666665E-5</v>
      </c>
      <c r="E241" s="4">
        <v>4395.26</v>
      </c>
      <c r="F241" s="17">
        <v>209.63</v>
      </c>
      <c r="G241" s="31">
        <f t="shared" si="17"/>
        <v>5.5432484140569886E-2</v>
      </c>
      <c r="H241" s="26">
        <f t="shared" si="18"/>
        <v>2.2748109365910464E-2</v>
      </c>
      <c r="I241" s="28">
        <f t="shared" si="16"/>
        <v>-2.9208135006490265E-3</v>
      </c>
    </row>
    <row r="242" spans="1:9" x14ac:dyDescent="0.2">
      <c r="A242" s="2">
        <v>44439</v>
      </c>
      <c r="B242" s="1">
        <v>92.63</v>
      </c>
      <c r="C242" s="3">
        <v>0.03</v>
      </c>
      <c r="D242" s="11">
        <f t="shared" si="15"/>
        <v>2.5000000000000001E-5</v>
      </c>
      <c r="E242" s="4">
        <v>4522.68</v>
      </c>
      <c r="F242" s="17">
        <v>209.04</v>
      </c>
      <c r="G242" s="31">
        <f t="shared" si="17"/>
        <v>-2.8144826599246454E-3</v>
      </c>
      <c r="H242" s="26">
        <f t="shared" si="18"/>
        <v>2.8990321391681052E-2</v>
      </c>
      <c r="I242" s="28">
        <f t="shared" si="16"/>
        <v>4.9907779103829202E-3</v>
      </c>
    </row>
    <row r="243" spans="1:9" x14ac:dyDescent="0.2">
      <c r="A243" s="2">
        <v>44469</v>
      </c>
      <c r="B243" s="1">
        <v>94.23</v>
      </c>
      <c r="C243" s="3">
        <v>7.0000000000000007E-2</v>
      </c>
      <c r="D243" s="11">
        <f t="shared" si="15"/>
        <v>5.8333333333333333E-5</v>
      </c>
      <c r="E243" s="4">
        <v>4307.54</v>
      </c>
      <c r="F243" s="17">
        <v>199.92</v>
      </c>
      <c r="G243" s="31">
        <f t="shared" si="17"/>
        <v>-4.3628013777267535E-2</v>
      </c>
      <c r="H243" s="26">
        <f t="shared" si="18"/>
        <v>-4.7569140421166278E-2</v>
      </c>
      <c r="I243" s="28">
        <f t="shared" si="16"/>
        <v>1.7273021699233601E-2</v>
      </c>
    </row>
    <row r="244" spans="1:9" x14ac:dyDescent="0.2">
      <c r="A244" s="2">
        <v>44500</v>
      </c>
      <c r="B244" s="1">
        <v>94.12</v>
      </c>
      <c r="C244" s="3">
        <v>0.06</v>
      </c>
      <c r="D244" s="11">
        <f t="shared" si="15"/>
        <v>5.0000000000000002E-5</v>
      </c>
      <c r="E244" s="4">
        <v>4605.38</v>
      </c>
      <c r="F244" s="17">
        <v>224.49</v>
      </c>
      <c r="G244" s="31">
        <f t="shared" si="17"/>
        <v>0.12289915966386566</v>
      </c>
      <c r="H244" s="26">
        <f t="shared" si="18"/>
        <v>6.9143873301234615E-2</v>
      </c>
      <c r="I244" s="28">
        <f t="shared" si="16"/>
        <v>-1.167356468216061E-3</v>
      </c>
    </row>
    <row r="245" spans="1:9" x14ac:dyDescent="0.2">
      <c r="A245" s="2">
        <v>44530</v>
      </c>
      <c r="B245" s="1">
        <v>95.99</v>
      </c>
      <c r="C245" s="3">
        <v>0.11</v>
      </c>
      <c r="D245" s="11">
        <f t="shared" si="15"/>
        <v>9.1666666666666668E-5</v>
      </c>
      <c r="E245" s="4">
        <v>4567</v>
      </c>
      <c r="F245" s="17">
        <v>230.89</v>
      </c>
      <c r="G245" s="31">
        <f t="shared" si="17"/>
        <v>2.8509064991758995E-2</v>
      </c>
      <c r="H245" s="26">
        <f t="shared" si="18"/>
        <v>-8.3337314184714628E-3</v>
      </c>
      <c r="I245" s="28">
        <f t="shared" si="16"/>
        <v>1.9868253293667554E-2</v>
      </c>
    </row>
    <row r="246" spans="1:9" x14ac:dyDescent="0.2">
      <c r="A246" s="2">
        <v>44561</v>
      </c>
      <c r="B246" s="1">
        <v>95.97</v>
      </c>
      <c r="C246" s="3">
        <v>0.06</v>
      </c>
      <c r="D246" s="11">
        <f t="shared" si="15"/>
        <v>5.0000000000000002E-5</v>
      </c>
      <c r="E246" s="4">
        <v>4766.18</v>
      </c>
      <c r="F246" s="17">
        <v>246.58</v>
      </c>
      <c r="G246" s="31">
        <f t="shared" si="17"/>
        <v>6.7954437177877025E-2</v>
      </c>
      <c r="H246" s="26">
        <f t="shared" si="18"/>
        <v>4.3612874972629799E-2</v>
      </c>
      <c r="I246" s="28">
        <f t="shared" si="16"/>
        <v>-2.0835503698297763E-4</v>
      </c>
    </row>
    <row r="247" spans="1:9" x14ac:dyDescent="0.2">
      <c r="A247" s="2">
        <v>44592</v>
      </c>
      <c r="B247" s="1">
        <v>96.54</v>
      </c>
      <c r="C247" s="3">
        <v>0.03</v>
      </c>
      <c r="D247" s="11">
        <f t="shared" si="15"/>
        <v>2.5000000000000001E-5</v>
      </c>
      <c r="E247" s="4">
        <v>4515.55</v>
      </c>
      <c r="F247" s="17">
        <v>206.17</v>
      </c>
      <c r="G247" s="31">
        <f t="shared" si="17"/>
        <v>-0.16388190445291598</v>
      </c>
      <c r="H247" s="26">
        <f t="shared" si="18"/>
        <v>-5.2585089106999758E-2</v>
      </c>
      <c r="I247" s="28">
        <f t="shared" si="16"/>
        <v>5.9393560487653162E-3</v>
      </c>
    </row>
    <row r="248" spans="1:9" x14ac:dyDescent="0.2">
      <c r="A248" s="2">
        <v>44620</v>
      </c>
      <c r="B248" s="1">
        <v>96.71</v>
      </c>
      <c r="C248" s="3">
        <v>0.06</v>
      </c>
      <c r="D248" s="11">
        <f t="shared" si="15"/>
        <v>5.0000000000000002E-5</v>
      </c>
      <c r="E248" s="4">
        <v>4373.9399999999996</v>
      </c>
      <c r="F248" s="17">
        <v>204.44</v>
      </c>
      <c r="G248" s="31">
        <f t="shared" si="17"/>
        <v>-8.3911335305815096E-3</v>
      </c>
      <c r="H248" s="26">
        <f t="shared" si="18"/>
        <v>-3.136052086678269E-2</v>
      </c>
      <c r="I248" s="28">
        <f t="shared" si="16"/>
        <v>1.7609281126992696E-3</v>
      </c>
    </row>
    <row r="249" spans="1:9" x14ac:dyDescent="0.2">
      <c r="A249" s="2">
        <v>44651</v>
      </c>
      <c r="B249" s="1">
        <v>98.31</v>
      </c>
      <c r="C249" s="3">
        <v>0.17</v>
      </c>
      <c r="D249" s="11">
        <f t="shared" si="15"/>
        <v>1.4166666666666668E-4</v>
      </c>
      <c r="E249" s="4">
        <v>4530.41</v>
      </c>
      <c r="F249" s="17">
        <v>227.54</v>
      </c>
      <c r="G249" s="31">
        <f t="shared" si="17"/>
        <v>0.11299158677362549</v>
      </c>
      <c r="H249" s="26">
        <f t="shared" si="18"/>
        <v>3.5773238773279988E-2</v>
      </c>
      <c r="I249" s="28">
        <f t="shared" si="16"/>
        <v>1.6544307724123759E-2</v>
      </c>
    </row>
    <row r="250" spans="1:9" x14ac:dyDescent="0.2">
      <c r="A250" s="2">
        <v>44681</v>
      </c>
      <c r="B250" s="1">
        <v>102.96</v>
      </c>
      <c r="C250" s="3">
        <v>0.37</v>
      </c>
      <c r="D250" s="11">
        <f t="shared" si="15"/>
        <v>3.0833333333333337E-4</v>
      </c>
      <c r="E250" s="4">
        <v>4131.93</v>
      </c>
      <c r="F250" s="17">
        <v>218.18</v>
      </c>
      <c r="G250" s="31">
        <f t="shared" si="17"/>
        <v>-4.1135624505581371E-2</v>
      </c>
      <c r="H250" s="26">
        <f t="shared" si="18"/>
        <v>-8.7956719149039395E-2</v>
      </c>
      <c r="I250" s="28">
        <f t="shared" si="16"/>
        <v>4.7299359169972445E-2</v>
      </c>
    </row>
    <row r="251" spans="1:9" x14ac:dyDescent="0.2">
      <c r="A251" s="2">
        <v>44712</v>
      </c>
      <c r="B251" s="1">
        <v>101.75</v>
      </c>
      <c r="C251" s="3">
        <v>0.73</v>
      </c>
      <c r="D251" s="11">
        <f t="shared" si="15"/>
        <v>6.0833333333333334E-4</v>
      </c>
      <c r="E251" s="4">
        <v>4132.1499999999996</v>
      </c>
      <c r="F251" s="17">
        <v>222.94</v>
      </c>
      <c r="G251" s="31">
        <f t="shared" si="17"/>
        <v>2.181684847373724E-2</v>
      </c>
      <c r="H251" s="26">
        <f t="shared" si="18"/>
        <v>5.3243883608711947E-5</v>
      </c>
      <c r="I251" s="28">
        <f t="shared" si="16"/>
        <v>-1.1752136752136691E-2</v>
      </c>
    </row>
    <row r="252" spans="1:9" x14ac:dyDescent="0.2">
      <c r="A252" s="2">
        <v>44742</v>
      </c>
      <c r="B252" s="1">
        <v>104.69</v>
      </c>
      <c r="C252" s="3">
        <v>1.28</v>
      </c>
      <c r="D252" s="11">
        <f t="shared" si="15"/>
        <v>1.0666666666666667E-3</v>
      </c>
      <c r="E252" s="4">
        <v>3785.38</v>
      </c>
      <c r="F252" s="17">
        <v>210.04</v>
      </c>
      <c r="G252" s="31">
        <f t="shared" si="17"/>
        <v>-5.7863102179958763E-2</v>
      </c>
      <c r="H252" s="26">
        <f t="shared" si="18"/>
        <v>-8.391999322386641E-2</v>
      </c>
      <c r="I252" s="28">
        <f t="shared" si="16"/>
        <v>2.8894348894348873E-2</v>
      </c>
    </row>
    <row r="253" spans="1:9" x14ac:dyDescent="0.2">
      <c r="A253" s="2">
        <v>44773</v>
      </c>
      <c r="B253" s="1">
        <v>105.9</v>
      </c>
      <c r="C253" s="3">
        <v>2.2200000000000002</v>
      </c>
      <c r="D253" s="11">
        <f t="shared" si="15"/>
        <v>1.8500000000000003E-3</v>
      </c>
      <c r="E253" s="4">
        <v>4130.29</v>
      </c>
      <c r="F253" s="17">
        <v>241.12</v>
      </c>
      <c r="G253" s="31">
        <f t="shared" si="17"/>
        <v>0.14797181489240152</v>
      </c>
      <c r="H253" s="26">
        <f t="shared" si="18"/>
        <v>9.1116347632205968E-2</v>
      </c>
      <c r="I253" s="28">
        <f t="shared" si="16"/>
        <v>1.1557932944884974E-2</v>
      </c>
    </row>
    <row r="254" spans="1:9" x14ac:dyDescent="0.2">
      <c r="A254" s="2">
        <v>44804</v>
      </c>
      <c r="B254" s="1">
        <v>108.7</v>
      </c>
      <c r="C254" s="3">
        <v>2.4</v>
      </c>
      <c r="D254" s="11">
        <f t="shared" si="15"/>
        <v>2E-3</v>
      </c>
      <c r="E254" s="4">
        <v>3955</v>
      </c>
      <c r="F254" s="17">
        <v>244.41</v>
      </c>
      <c r="G254" s="31">
        <f t="shared" si="17"/>
        <v>1.3644658261446549E-2</v>
      </c>
      <c r="H254" s="26">
        <f t="shared" si="18"/>
        <v>-4.2440119216810436E-2</v>
      </c>
      <c r="I254" s="28">
        <f t="shared" si="16"/>
        <v>2.6440037771482502E-2</v>
      </c>
    </row>
    <row r="255" spans="1:9" x14ac:dyDescent="0.2">
      <c r="A255" s="2">
        <v>44834</v>
      </c>
      <c r="B255" s="1">
        <v>112.12</v>
      </c>
      <c r="C255" s="3">
        <v>2.79</v>
      </c>
      <c r="D255" s="11">
        <f t="shared" si="15"/>
        <v>2.3250000000000002E-3</v>
      </c>
      <c r="E255" s="4">
        <v>3585.62</v>
      </c>
      <c r="F255" s="17">
        <v>226.19</v>
      </c>
      <c r="G255" s="31">
        <f t="shared" si="17"/>
        <v>-7.4546867967759084E-2</v>
      </c>
      <c r="H255" s="26">
        <f t="shared" si="18"/>
        <v>-9.3395701643489287E-2</v>
      </c>
      <c r="I255" s="28">
        <f t="shared" si="16"/>
        <v>3.1462741490340403E-2</v>
      </c>
    </row>
    <row r="256" spans="1:9" x14ac:dyDescent="0.2">
      <c r="A256" s="2">
        <v>44865</v>
      </c>
      <c r="B256" s="1">
        <v>111.53</v>
      </c>
      <c r="C256" s="3">
        <v>3.73</v>
      </c>
      <c r="D256" s="11">
        <f t="shared" si="15"/>
        <v>3.1083333333333336E-3</v>
      </c>
      <c r="E256" s="4">
        <v>3871.98</v>
      </c>
      <c r="F256" s="17">
        <v>241.7</v>
      </c>
      <c r="G256" s="31">
        <f t="shared" si="17"/>
        <v>6.8570670675096118E-2</v>
      </c>
      <c r="H256" s="26">
        <f t="shared" si="18"/>
        <v>7.9863454576893297E-2</v>
      </c>
      <c r="I256" s="28">
        <f t="shared" si="16"/>
        <v>-5.2622190510167978E-3</v>
      </c>
    </row>
    <row r="257" spans="1:20" x14ac:dyDescent="0.2">
      <c r="A257" s="2">
        <v>44895</v>
      </c>
      <c r="B257" s="1">
        <v>105.95</v>
      </c>
      <c r="C257" s="3">
        <v>4.07</v>
      </c>
      <c r="D257" s="11">
        <f t="shared" si="15"/>
        <v>3.3916666666666665E-3</v>
      </c>
      <c r="E257" s="4">
        <v>4080.11</v>
      </c>
      <c r="F257" s="17">
        <v>264.14</v>
      </c>
      <c r="G257" s="31">
        <f t="shared" si="17"/>
        <v>9.284236657012826E-2</v>
      </c>
      <c r="H257" s="26">
        <f t="shared" si="18"/>
        <v>5.375286029369989E-2</v>
      </c>
      <c r="I257" s="28">
        <f t="shared" si="16"/>
        <v>-5.003138169102482E-2</v>
      </c>
    </row>
    <row r="258" spans="1:20" x14ac:dyDescent="0.2">
      <c r="A258" s="2">
        <v>44926</v>
      </c>
      <c r="B258" s="1">
        <v>103.52</v>
      </c>
      <c r="C258" s="3">
        <v>4.12</v>
      </c>
      <c r="D258" s="11">
        <f t="shared" si="15"/>
        <v>3.4333333333333334E-3</v>
      </c>
      <c r="E258" s="4">
        <v>3839.5</v>
      </c>
      <c r="F258" s="17">
        <v>238.86</v>
      </c>
      <c r="G258" s="31">
        <f t="shared" si="17"/>
        <v>-9.5706822139774259E-2</v>
      </c>
      <c r="H258" s="26">
        <f t="shared" si="18"/>
        <v>-5.897144929916108E-2</v>
      </c>
      <c r="I258" s="28">
        <f t="shared" si="16"/>
        <v>-2.2935346861727293E-2</v>
      </c>
    </row>
    <row r="259" spans="1:20" x14ac:dyDescent="0.2">
      <c r="A259" s="2">
        <v>44957</v>
      </c>
      <c r="B259" s="1">
        <v>102.1</v>
      </c>
      <c r="C259" s="3">
        <v>4.58</v>
      </c>
      <c r="D259" s="11">
        <f t="shared" ref="D259:D270" si="19">C259/12/100</f>
        <v>3.8166666666666666E-3</v>
      </c>
      <c r="E259" s="4">
        <v>4076.6</v>
      </c>
      <c r="F259" s="17">
        <v>225.81</v>
      </c>
      <c r="G259" s="31">
        <f t="shared" si="17"/>
        <v>-5.463451394122084E-2</v>
      </c>
      <c r="H259" s="26">
        <f t="shared" si="18"/>
        <v>6.1752832400052068E-2</v>
      </c>
      <c r="I259" s="28">
        <f t="shared" ref="I259:I270" si="20">(B259-B258)/B258</f>
        <v>-1.371715610510048E-2</v>
      </c>
    </row>
    <row r="260" spans="1:20" x14ac:dyDescent="0.2">
      <c r="A260" s="2">
        <v>44985</v>
      </c>
      <c r="B260" s="1">
        <v>104.87</v>
      </c>
      <c r="C260" s="3">
        <v>4.6500000000000004</v>
      </c>
      <c r="D260" s="11">
        <f t="shared" si="19"/>
        <v>3.875E-3</v>
      </c>
      <c r="E260" s="4">
        <v>3970.15</v>
      </c>
      <c r="F260" s="17">
        <v>219.82</v>
      </c>
      <c r="G260" s="31">
        <f t="shared" ref="G260:G270" si="21">(F260-F259)/F259</f>
        <v>-2.6526726008591333E-2</v>
      </c>
      <c r="H260" s="26">
        <f t="shared" ref="H260:H270" si="22">(E260-E259)/E259</f>
        <v>-2.6112446646715356E-2</v>
      </c>
      <c r="I260" s="28">
        <f t="shared" si="20"/>
        <v>2.7130264446621061E-2</v>
      </c>
    </row>
    <row r="261" spans="1:20" x14ac:dyDescent="0.2">
      <c r="A261" s="2">
        <v>45016</v>
      </c>
      <c r="B261" s="1">
        <v>102.51</v>
      </c>
      <c r="C261" s="3">
        <v>4.74</v>
      </c>
      <c r="D261" s="11">
        <f t="shared" si="19"/>
        <v>3.9500000000000004E-3</v>
      </c>
      <c r="E261" s="4">
        <v>4109.3100000000004</v>
      </c>
      <c r="F261" s="17">
        <v>222.63</v>
      </c>
      <c r="G261" s="31">
        <f t="shared" si="21"/>
        <v>1.2783186243289975E-2</v>
      </c>
      <c r="H261" s="26">
        <f t="shared" si="22"/>
        <v>3.5051572358727079E-2</v>
      </c>
      <c r="I261" s="28">
        <f t="shared" si="20"/>
        <v>-2.2504052636597684E-2</v>
      </c>
    </row>
    <row r="262" spans="1:20" x14ac:dyDescent="0.2">
      <c r="A262" s="2">
        <v>45046</v>
      </c>
      <c r="B262" s="1">
        <v>101.66</v>
      </c>
      <c r="C262" s="3">
        <v>4.3499999999999996</v>
      </c>
      <c r="D262" s="11">
        <f t="shared" si="19"/>
        <v>3.6249999999999998E-3</v>
      </c>
      <c r="E262" s="4">
        <v>4169.4799999999996</v>
      </c>
      <c r="F262" s="17">
        <v>220</v>
      </c>
      <c r="G262" s="31">
        <f t="shared" si="21"/>
        <v>-1.1813322553115013E-2</v>
      </c>
      <c r="H262" s="26">
        <f t="shared" si="22"/>
        <v>1.4642360882970416E-2</v>
      </c>
      <c r="I262" s="28">
        <f t="shared" si="20"/>
        <v>-8.2918739635158365E-3</v>
      </c>
    </row>
    <row r="263" spans="1:20" x14ac:dyDescent="0.2">
      <c r="A263" s="2">
        <v>45077</v>
      </c>
      <c r="B263" s="1">
        <v>104.33</v>
      </c>
      <c r="C263" s="3">
        <v>5.28</v>
      </c>
      <c r="D263" s="11">
        <f t="shared" si="19"/>
        <v>4.4000000000000003E-3</v>
      </c>
      <c r="E263" s="4">
        <v>4179.83</v>
      </c>
      <c r="F263" s="17">
        <v>208.99</v>
      </c>
      <c r="G263" s="31">
        <f t="shared" si="21"/>
        <v>-5.0045454545454504E-2</v>
      </c>
      <c r="H263" s="26">
        <f t="shared" si="22"/>
        <v>2.4823239348792572E-3</v>
      </c>
      <c r="I263" s="28">
        <f t="shared" si="20"/>
        <v>2.6264017312610681E-2</v>
      </c>
    </row>
    <row r="264" spans="1:20" x14ac:dyDescent="0.2">
      <c r="A264" s="2">
        <v>45107</v>
      </c>
      <c r="B264" s="1">
        <v>102.91</v>
      </c>
      <c r="C264" s="3">
        <v>5.24</v>
      </c>
      <c r="D264" s="11">
        <f t="shared" si="19"/>
        <v>4.3666666666666671E-3</v>
      </c>
      <c r="E264" s="4">
        <v>4450.38</v>
      </c>
      <c r="F264" s="17">
        <v>219.79</v>
      </c>
      <c r="G264" s="31">
        <f t="shared" si="21"/>
        <v>5.1677113737499315E-2</v>
      </c>
      <c r="H264" s="26">
        <f t="shared" si="22"/>
        <v>6.4727512841431398E-2</v>
      </c>
      <c r="I264" s="28">
        <f t="shared" si="20"/>
        <v>-1.361065848749163E-2</v>
      </c>
    </row>
    <row r="265" spans="1:20" x14ac:dyDescent="0.2">
      <c r="A265" s="2">
        <v>45138</v>
      </c>
      <c r="B265" s="1">
        <v>101.86</v>
      </c>
      <c r="C265" s="3">
        <v>5.48</v>
      </c>
      <c r="D265" s="11">
        <f t="shared" si="19"/>
        <v>4.5666666666666668E-3</v>
      </c>
      <c r="E265" s="4">
        <v>4588.96</v>
      </c>
      <c r="F265" s="17">
        <v>247.26</v>
      </c>
      <c r="G265" s="31">
        <f t="shared" si="21"/>
        <v>0.12498293825924746</v>
      </c>
      <c r="H265" s="26">
        <f t="shared" si="22"/>
        <v>3.1138913980379185E-2</v>
      </c>
      <c r="I265" s="28">
        <f t="shared" si="20"/>
        <v>-1.0203090078709525E-2</v>
      </c>
    </row>
    <row r="266" spans="1:20" x14ac:dyDescent="0.2">
      <c r="A266" s="2">
        <v>45169</v>
      </c>
      <c r="B266" s="1">
        <v>103.62</v>
      </c>
      <c r="C266" s="3">
        <v>5.52</v>
      </c>
      <c r="D266" s="11">
        <f t="shared" si="19"/>
        <v>4.5999999999999999E-3</v>
      </c>
      <c r="E266" s="4">
        <v>4507.66</v>
      </c>
      <c r="F266" s="17">
        <v>254.61</v>
      </c>
      <c r="G266" s="31">
        <f t="shared" si="21"/>
        <v>2.9725794710021933E-2</v>
      </c>
      <c r="H266" s="26">
        <f t="shared" si="22"/>
        <v>-1.7716432481433741E-2</v>
      </c>
      <c r="I266" s="28">
        <f t="shared" si="20"/>
        <v>1.7278617710583203E-2</v>
      </c>
    </row>
    <row r="267" spans="1:20" x14ac:dyDescent="0.2">
      <c r="A267" s="2">
        <v>45199</v>
      </c>
      <c r="B267" s="1">
        <v>106.22</v>
      </c>
      <c r="C267" s="3">
        <v>5.55</v>
      </c>
      <c r="D267" s="11">
        <f t="shared" si="19"/>
        <v>4.6249999999999998E-3</v>
      </c>
      <c r="E267" s="4">
        <v>4288.05</v>
      </c>
      <c r="F267" s="17">
        <v>240.58</v>
      </c>
      <c r="G267" s="31">
        <f t="shared" si="21"/>
        <v>-5.5103884372177059E-2</v>
      </c>
      <c r="H267" s="26">
        <f t="shared" si="22"/>
        <v>-4.8719291162155016E-2</v>
      </c>
      <c r="I267" s="28">
        <f t="shared" si="20"/>
        <v>2.5091681142636501E-2</v>
      </c>
    </row>
    <row r="268" spans="1:20" x14ac:dyDescent="0.2">
      <c r="A268" s="2">
        <v>45230</v>
      </c>
      <c r="B268" s="1">
        <v>106.66</v>
      </c>
      <c r="C268" s="3">
        <v>5.56</v>
      </c>
      <c r="D268" s="11">
        <f t="shared" si="19"/>
        <v>4.6333333333333331E-3</v>
      </c>
      <c r="E268" s="4">
        <v>4193.8</v>
      </c>
      <c r="F268" s="17">
        <v>218.22</v>
      </c>
      <c r="G268" s="31">
        <f t="shared" si="21"/>
        <v>-9.2942056696317291E-2</v>
      </c>
      <c r="H268" s="26">
        <f t="shared" si="22"/>
        <v>-2.1979687736850082E-2</v>
      </c>
      <c r="I268" s="28">
        <f t="shared" si="20"/>
        <v>4.1423460741856315E-3</v>
      </c>
    </row>
    <row r="269" spans="1:20" x14ac:dyDescent="0.2">
      <c r="A269" s="2">
        <v>45260</v>
      </c>
      <c r="B269" s="1">
        <v>103.5</v>
      </c>
      <c r="C269" s="3">
        <v>5.56</v>
      </c>
      <c r="D269" s="11">
        <f t="shared" si="19"/>
        <v>4.6333333333333331E-3</v>
      </c>
      <c r="E269" s="4">
        <v>4567.8</v>
      </c>
      <c r="F269" s="17">
        <v>229.92</v>
      </c>
      <c r="G269" s="31">
        <f t="shared" si="21"/>
        <v>5.3615617266978229E-2</v>
      </c>
      <c r="H269" s="26">
        <f t="shared" si="22"/>
        <v>8.9179264628737653E-2</v>
      </c>
      <c r="I269" s="28">
        <f t="shared" si="20"/>
        <v>-2.9626851678229857E-2</v>
      </c>
    </row>
    <row r="270" spans="1:20" x14ac:dyDescent="0.2">
      <c r="A270" s="2">
        <v>45291</v>
      </c>
      <c r="B270" s="1">
        <v>101.33</v>
      </c>
      <c r="C270" s="3">
        <v>5.6</v>
      </c>
      <c r="D270" s="11">
        <f t="shared" si="19"/>
        <v>4.6666666666666662E-3</v>
      </c>
      <c r="E270" s="4">
        <v>4769.83</v>
      </c>
      <c r="F270" s="17">
        <v>232.97</v>
      </c>
      <c r="G270" s="31">
        <f t="shared" si="21"/>
        <v>1.3265483646485785E-2</v>
      </c>
      <c r="H270" s="26">
        <f t="shared" si="22"/>
        <v>4.4229169403213746E-2</v>
      </c>
      <c r="I270" s="28">
        <f t="shared" si="20"/>
        <v>-2.0966183574879244E-2</v>
      </c>
    </row>
    <row r="271" spans="1:20" ht="16" customHeight="1" x14ac:dyDescent="0.2">
      <c r="H271" s="26" cm="1">
        <f t="array" ref="H271">PRODUCT(1+H259:H270)-1</f>
        <v>0.24230498762859742</v>
      </c>
      <c r="I271" s="28" cm="1">
        <f t="array" ref="I271">PRODUCT(1+I259:I270)-1</f>
        <v>-2.1155332302936314E-2</v>
      </c>
      <c r="T271" s="36"/>
    </row>
    <row r="272" spans="1:20" x14ac:dyDescent="0.2">
      <c r="T272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8546-B9BA-4E4B-80D1-33CEC824E79B}">
  <dimension ref="A1:L271"/>
  <sheetViews>
    <sheetView zoomScale="75" workbookViewId="0">
      <selection activeCell="G8" sqref="G8"/>
    </sheetView>
  </sheetViews>
  <sheetFormatPr baseColWidth="10" defaultRowHeight="16" x14ac:dyDescent="0.2"/>
  <cols>
    <col min="10" max="10" width="22" bestFit="1" customWidth="1"/>
    <col min="11" max="11" width="22.5" bestFit="1" customWidth="1"/>
    <col min="12" max="12" width="24.83203125" bestFit="1" customWidth="1"/>
  </cols>
  <sheetData>
    <row r="1" spans="1:12" x14ac:dyDescent="0.2">
      <c r="B1" s="50" t="s">
        <v>46</v>
      </c>
      <c r="C1" s="50"/>
      <c r="D1" s="50" t="s">
        <v>49</v>
      </c>
      <c r="E1" s="50"/>
      <c r="F1" s="50" t="s">
        <v>50</v>
      </c>
      <c r="G1" s="50"/>
      <c r="H1" s="50" t="s">
        <v>47</v>
      </c>
      <c r="I1" s="50"/>
    </row>
    <row r="2" spans="1:12" x14ac:dyDescent="0.2">
      <c r="A2" s="4" t="s">
        <v>0</v>
      </c>
      <c r="B2" t="s">
        <v>51</v>
      </c>
      <c r="C2" t="s">
        <v>52</v>
      </c>
      <c r="D2" t="s">
        <v>51</v>
      </c>
      <c r="E2" t="s">
        <v>52</v>
      </c>
      <c r="F2" t="s">
        <v>51</v>
      </c>
      <c r="G2" t="s">
        <v>52</v>
      </c>
      <c r="H2" t="s">
        <v>51</v>
      </c>
      <c r="I2" t="s">
        <v>52</v>
      </c>
      <c r="J2" s="37" t="s">
        <v>54</v>
      </c>
      <c r="K2" s="41" t="s">
        <v>55</v>
      </c>
      <c r="L2" s="39" t="s">
        <v>56</v>
      </c>
    </row>
    <row r="3" spans="1:12" x14ac:dyDescent="0.2">
      <c r="A3" s="2">
        <v>37134</v>
      </c>
      <c r="B3" s="9">
        <v>5.5309100000000004</v>
      </c>
      <c r="C3" s="9">
        <v>4.9713054000000003</v>
      </c>
      <c r="D3" s="9">
        <v>2.8272295000000001</v>
      </c>
      <c r="E3" s="9">
        <v>2.7214849999999999</v>
      </c>
      <c r="F3" s="9">
        <v>1.4604126718621684</v>
      </c>
      <c r="G3" s="9">
        <v>1.2591457214265001</v>
      </c>
      <c r="H3" s="9">
        <v>1.4401073</v>
      </c>
      <c r="I3" s="9">
        <v>-3.9039369000000002</v>
      </c>
      <c r="J3" s="38">
        <f>(B3-C3)/100</f>
        <v>5.5960460000000012E-3</v>
      </c>
      <c r="K3" s="42">
        <f>(D3-E3)/100</f>
        <v>1.0574450000000013E-3</v>
      </c>
      <c r="L3" s="40">
        <f>(H3-I3)/100</f>
        <v>5.3440441999999998E-2</v>
      </c>
    </row>
    <row r="4" spans="1:12" x14ac:dyDescent="0.2">
      <c r="A4" s="2">
        <v>37164</v>
      </c>
      <c r="B4" s="9">
        <v>5.330667</v>
      </c>
      <c r="C4" s="9">
        <v>4.7486670000000002</v>
      </c>
      <c r="D4" s="9">
        <v>2.6068785000000001</v>
      </c>
      <c r="E4" s="9">
        <v>2.5921675999999998</v>
      </c>
      <c r="F4" s="9">
        <v>1.2615182211341749</v>
      </c>
      <c r="G4" s="9">
        <v>1.141969952374811</v>
      </c>
      <c r="H4" s="9">
        <v>1.4401071999999999</v>
      </c>
      <c r="I4" s="9">
        <v>-3.9039369000000002</v>
      </c>
      <c r="J4" s="38">
        <f t="shared" ref="J4:J67" si="0">(B4-C4)/100</f>
        <v>5.8199999999999988E-3</v>
      </c>
      <c r="K4" s="42">
        <f t="shared" ref="K4:K67" si="1">(D4-E4)/100</f>
        <v>1.4710900000000304E-4</v>
      </c>
      <c r="L4" s="40">
        <f t="shared" ref="L4:L67" si="2">(H4-I4)/100</f>
        <v>5.3440440999999998E-2</v>
      </c>
    </row>
    <row r="5" spans="1:12" x14ac:dyDescent="0.2">
      <c r="A5" s="2">
        <v>37195</v>
      </c>
      <c r="B5" s="9">
        <v>5.2327275000000002</v>
      </c>
      <c r="C5" s="9">
        <v>4.5647820000000001</v>
      </c>
      <c r="D5" s="9">
        <v>1.8691618000000001</v>
      </c>
      <c r="E5" s="9">
        <v>2.1276760000000001</v>
      </c>
      <c r="F5" s="9">
        <v>1.2615182211341749</v>
      </c>
      <c r="G5" s="9">
        <v>1.141969952374811</v>
      </c>
      <c r="H5" s="9">
        <v>1.1307567000000001</v>
      </c>
      <c r="I5" s="9">
        <v>-3.3117877999999998</v>
      </c>
      <c r="J5" s="38">
        <f t="shared" si="0"/>
        <v>6.6794550000000008E-3</v>
      </c>
      <c r="K5" s="42">
        <f t="shared" si="1"/>
        <v>-2.5851420000000003E-3</v>
      </c>
      <c r="L5" s="40">
        <f t="shared" si="2"/>
        <v>4.4425445000000001E-2</v>
      </c>
    </row>
    <row r="6" spans="1:12" x14ac:dyDescent="0.2">
      <c r="A6" s="2">
        <v>37225</v>
      </c>
      <c r="B6" s="9">
        <v>5.1629996</v>
      </c>
      <c r="C6" s="9">
        <v>4.6366677000000003</v>
      </c>
      <c r="D6" s="9">
        <v>0.61983290000000002</v>
      </c>
      <c r="E6" s="9">
        <v>1.8943809</v>
      </c>
      <c r="F6" s="9">
        <v>1.2615182211341749</v>
      </c>
      <c r="G6" s="9">
        <v>1.141969952374811</v>
      </c>
      <c r="H6" s="9">
        <v>1.1307567000000001</v>
      </c>
      <c r="I6" s="9">
        <v>-3.3117877999999998</v>
      </c>
      <c r="J6" s="38">
        <f t="shared" si="0"/>
        <v>5.2633189999999972E-3</v>
      </c>
      <c r="K6" s="42">
        <f t="shared" si="1"/>
        <v>-1.274548E-2</v>
      </c>
      <c r="L6" s="40">
        <f t="shared" si="2"/>
        <v>4.4425445000000001E-2</v>
      </c>
    </row>
    <row r="7" spans="1:12" x14ac:dyDescent="0.2">
      <c r="A7" s="2">
        <v>37256</v>
      </c>
      <c r="B7" s="9">
        <v>5.4084215000000002</v>
      </c>
      <c r="C7" s="9">
        <v>5.0875006000000003</v>
      </c>
      <c r="D7" s="9">
        <v>0.72165155000000003</v>
      </c>
      <c r="E7" s="9">
        <v>1.6036576</v>
      </c>
      <c r="F7" s="9">
        <v>1.3412487616473516</v>
      </c>
      <c r="G7" s="9">
        <v>1.0529205763641196</v>
      </c>
      <c r="H7" s="9">
        <v>1.1307567000000001</v>
      </c>
      <c r="I7" s="9">
        <v>-3.3117877999999998</v>
      </c>
      <c r="J7" s="38">
        <f t="shared" si="0"/>
        <v>3.2092089999999993E-3</v>
      </c>
      <c r="K7" s="42">
        <f t="shared" si="1"/>
        <v>-8.8200604999999991E-3</v>
      </c>
      <c r="L7" s="40">
        <f t="shared" si="2"/>
        <v>4.4425445000000001E-2</v>
      </c>
    </row>
    <row r="8" spans="1:12" x14ac:dyDescent="0.2">
      <c r="A8" s="2">
        <v>37287</v>
      </c>
      <c r="B8" s="9">
        <v>5.3457140000000001</v>
      </c>
      <c r="C8" s="9">
        <v>5.0357139999999996</v>
      </c>
      <c r="D8" s="9">
        <v>1.3429754</v>
      </c>
      <c r="E8" s="9">
        <v>1.1958937999999999</v>
      </c>
      <c r="F8" s="9">
        <v>1.3412487616473516</v>
      </c>
      <c r="G8" s="9">
        <v>1.0529205763641196</v>
      </c>
      <c r="H8" s="9">
        <v>2.4466616999999999</v>
      </c>
      <c r="I8" s="9">
        <v>-3.8061113</v>
      </c>
      <c r="J8" s="38">
        <f t="shared" si="0"/>
        <v>3.1000000000000051E-3</v>
      </c>
      <c r="K8" s="42">
        <f t="shared" si="1"/>
        <v>1.4708160000000015E-3</v>
      </c>
      <c r="L8" s="40">
        <f t="shared" si="2"/>
        <v>6.252772999999999E-2</v>
      </c>
    </row>
    <row r="9" spans="1:12" x14ac:dyDescent="0.2">
      <c r="A9" s="2">
        <v>37315</v>
      </c>
      <c r="B9" s="9">
        <v>5.32158</v>
      </c>
      <c r="C9" s="9">
        <v>4.9115789999999997</v>
      </c>
      <c r="D9" s="9">
        <v>1.5479871999999999</v>
      </c>
      <c r="E9" s="9">
        <v>1.1363616000000001</v>
      </c>
      <c r="F9" s="9">
        <v>1.3412487616473516</v>
      </c>
      <c r="G9" s="9">
        <v>1.0529205763641196</v>
      </c>
      <c r="H9" s="9">
        <v>2.4466614999999998</v>
      </c>
      <c r="I9" s="9">
        <v>-3.8061113</v>
      </c>
      <c r="J9" s="38">
        <f t="shared" si="0"/>
        <v>4.1000100000000029E-3</v>
      </c>
      <c r="K9" s="42">
        <f t="shared" si="1"/>
        <v>4.1162559999999978E-3</v>
      </c>
      <c r="L9" s="40">
        <f t="shared" si="2"/>
        <v>6.2527728000000005E-2</v>
      </c>
    </row>
    <row r="10" spans="1:12" x14ac:dyDescent="0.2">
      <c r="A10" s="2">
        <v>37346</v>
      </c>
      <c r="B10" s="9">
        <v>5.6669999999999998</v>
      </c>
      <c r="C10" s="9">
        <v>5.2839993999999999</v>
      </c>
      <c r="D10" s="9">
        <v>1.7507797</v>
      </c>
      <c r="E10" s="9">
        <v>1.3628697000000001</v>
      </c>
      <c r="F10" s="9">
        <v>1.4917686008941531</v>
      </c>
      <c r="G10" s="9">
        <v>1.3270984666617316</v>
      </c>
      <c r="H10" s="9">
        <v>2.4466614999999998</v>
      </c>
      <c r="I10" s="9">
        <v>-3.8061113</v>
      </c>
      <c r="J10" s="38">
        <f t="shared" si="0"/>
        <v>3.8300059999999991E-3</v>
      </c>
      <c r="K10" s="42">
        <f t="shared" si="1"/>
        <v>3.8790999999999999E-3</v>
      </c>
      <c r="L10" s="40">
        <f t="shared" si="2"/>
        <v>6.2527728000000005E-2</v>
      </c>
    </row>
    <row r="11" spans="1:12" x14ac:dyDescent="0.2">
      <c r="A11" s="2">
        <v>37376</v>
      </c>
      <c r="B11" s="9">
        <v>5.6586366000000003</v>
      </c>
      <c r="C11" s="9">
        <v>5.2109094000000002</v>
      </c>
      <c r="D11" s="9">
        <v>1.7382485999999999</v>
      </c>
      <c r="E11" s="9">
        <v>1.6439961000000001</v>
      </c>
      <c r="F11" s="9">
        <v>1.4917686008941531</v>
      </c>
      <c r="G11" s="9">
        <v>1.3270984666617316</v>
      </c>
      <c r="H11" s="9">
        <v>1.8635759999999999</v>
      </c>
      <c r="I11" s="9">
        <v>-4.2128835000000002</v>
      </c>
      <c r="J11" s="38">
        <f t="shared" si="0"/>
        <v>4.4772720000000009E-3</v>
      </c>
      <c r="K11" s="42">
        <f t="shared" si="1"/>
        <v>9.4252499999999853E-4</v>
      </c>
      <c r="L11" s="40">
        <f t="shared" si="2"/>
        <v>6.0764595000000005E-2</v>
      </c>
    </row>
    <row r="12" spans="1:12" x14ac:dyDescent="0.2">
      <c r="A12" s="2">
        <v>37407</v>
      </c>
      <c r="B12" s="9">
        <v>5.59619</v>
      </c>
      <c r="C12" s="9">
        <v>5.1645459999999996</v>
      </c>
      <c r="D12" s="9">
        <v>1.0162654</v>
      </c>
      <c r="E12" s="9">
        <v>1.2408334000000001</v>
      </c>
      <c r="F12" s="9">
        <v>1.4917686008941531</v>
      </c>
      <c r="G12" s="9">
        <v>1.3270984666617316</v>
      </c>
      <c r="H12" s="9">
        <v>1.8635759999999999</v>
      </c>
      <c r="I12" s="9">
        <v>-4.2128835000000002</v>
      </c>
      <c r="J12" s="38">
        <f t="shared" si="0"/>
        <v>4.3164400000000039E-3</v>
      </c>
      <c r="K12" s="42">
        <f t="shared" si="1"/>
        <v>-2.2456800000000012E-3</v>
      </c>
      <c r="L12" s="40">
        <f t="shared" si="2"/>
        <v>6.0764595000000005E-2</v>
      </c>
    </row>
    <row r="13" spans="1:12" x14ac:dyDescent="0.2">
      <c r="A13" s="2">
        <v>37437</v>
      </c>
      <c r="B13" s="9">
        <v>5.4240006999999997</v>
      </c>
      <c r="C13" s="9">
        <v>4.9264989999999997</v>
      </c>
      <c r="D13" s="9">
        <v>1.2195168000000001</v>
      </c>
      <c r="E13" s="9">
        <v>1.0692196</v>
      </c>
      <c r="F13" s="9">
        <v>1.5328481556749187</v>
      </c>
      <c r="G13" s="9">
        <v>1.324840982459214</v>
      </c>
      <c r="H13" s="9">
        <v>1.8635759999999999</v>
      </c>
      <c r="I13" s="9">
        <v>-4.2128835000000002</v>
      </c>
      <c r="J13" s="38">
        <f t="shared" si="0"/>
        <v>4.9750169999999991E-3</v>
      </c>
      <c r="K13" s="42">
        <f t="shared" si="1"/>
        <v>1.5029720000000002E-3</v>
      </c>
      <c r="L13" s="40">
        <f t="shared" si="2"/>
        <v>6.0764595000000005E-2</v>
      </c>
    </row>
    <row r="14" spans="1:12" x14ac:dyDescent="0.2">
      <c r="A14" s="2">
        <v>37468</v>
      </c>
      <c r="B14" s="9">
        <v>5.2871430000000004</v>
      </c>
      <c r="C14" s="9">
        <v>4.6531824999999998</v>
      </c>
      <c r="D14" s="9">
        <v>2.2426111999999998</v>
      </c>
      <c r="E14" s="9">
        <v>1.4656144</v>
      </c>
      <c r="F14" s="9">
        <v>1.5328481556749187</v>
      </c>
      <c r="G14" s="9">
        <v>1.324840982459214</v>
      </c>
      <c r="H14" s="9">
        <v>1.4038188</v>
      </c>
      <c r="I14" s="9">
        <v>-4.1825776000000001</v>
      </c>
      <c r="J14" s="38">
        <f t="shared" si="0"/>
        <v>6.339605000000006E-3</v>
      </c>
      <c r="K14" s="42">
        <f t="shared" si="1"/>
        <v>7.7699679999999986E-3</v>
      </c>
      <c r="L14" s="40">
        <f t="shared" si="2"/>
        <v>5.5863964000000002E-2</v>
      </c>
    </row>
    <row r="15" spans="1:12" x14ac:dyDescent="0.2">
      <c r="A15" s="2">
        <v>37499</v>
      </c>
      <c r="B15" s="9">
        <v>5.1204761999999997</v>
      </c>
      <c r="C15" s="9">
        <v>4.2572726999999997</v>
      </c>
      <c r="D15" s="9">
        <v>2.5458211999999998</v>
      </c>
      <c r="E15" s="9">
        <v>1.7474692000000001</v>
      </c>
      <c r="F15" s="9">
        <v>1.5328481556749187</v>
      </c>
      <c r="G15" s="9">
        <v>1.324840982459214</v>
      </c>
      <c r="H15" s="9">
        <v>1.4038187</v>
      </c>
      <c r="I15" s="9">
        <v>-4.1825776000000001</v>
      </c>
      <c r="J15" s="38">
        <f t="shared" si="0"/>
        <v>8.6320349999999997E-3</v>
      </c>
      <c r="K15" s="42">
        <f t="shared" si="1"/>
        <v>7.9835199999999974E-3</v>
      </c>
      <c r="L15" s="40">
        <f t="shared" si="2"/>
        <v>5.5863963000000003E-2</v>
      </c>
    </row>
    <row r="16" spans="1:12" x14ac:dyDescent="0.2">
      <c r="A16" s="2">
        <v>37529</v>
      </c>
      <c r="B16" s="9">
        <v>4.8855003999999997</v>
      </c>
      <c r="C16" s="9">
        <v>3.8700000999999999</v>
      </c>
      <c r="D16" s="9">
        <v>2.4390334999999999</v>
      </c>
      <c r="E16" s="9">
        <v>1.5159982000000001</v>
      </c>
      <c r="F16" s="9">
        <v>1.6584650493989432</v>
      </c>
      <c r="G16" s="9">
        <v>1.4653559921838923</v>
      </c>
      <c r="H16" s="9">
        <v>1.4038188</v>
      </c>
      <c r="I16" s="9">
        <v>-4.1825776000000001</v>
      </c>
      <c r="J16" s="38">
        <f t="shared" si="0"/>
        <v>1.0155002999999998E-2</v>
      </c>
      <c r="K16" s="42">
        <f t="shared" si="1"/>
        <v>9.2303529999999984E-3</v>
      </c>
      <c r="L16" s="40">
        <f t="shared" si="2"/>
        <v>5.5863964000000002E-2</v>
      </c>
    </row>
    <row r="17" spans="1:12" x14ac:dyDescent="0.2">
      <c r="A17" s="2">
        <v>37560</v>
      </c>
      <c r="B17" s="9">
        <v>5.1272729999999997</v>
      </c>
      <c r="C17" s="9">
        <v>3.9360870000000001</v>
      </c>
      <c r="D17" s="9">
        <v>3.261984</v>
      </c>
      <c r="E17" s="9">
        <v>2.0270133000000001</v>
      </c>
      <c r="F17" s="9">
        <v>1.6584650493989432</v>
      </c>
      <c r="G17" s="9">
        <v>1.4653559921838923</v>
      </c>
      <c r="H17" s="9">
        <v>1.2644972000000001</v>
      </c>
      <c r="I17" s="9">
        <v>-4.4831443000000002</v>
      </c>
      <c r="J17" s="38">
        <f t="shared" si="0"/>
        <v>1.1911859999999996E-2</v>
      </c>
      <c r="K17" s="42">
        <f t="shared" si="1"/>
        <v>1.2349706999999998E-2</v>
      </c>
      <c r="L17" s="40">
        <f t="shared" si="2"/>
        <v>5.7476415000000003E-2</v>
      </c>
    </row>
    <row r="18" spans="1:12" x14ac:dyDescent="0.2">
      <c r="A18" s="2">
        <v>37590</v>
      </c>
      <c r="B18" s="9">
        <v>5.0863166</v>
      </c>
      <c r="C18" s="9">
        <v>4.0385010000000001</v>
      </c>
      <c r="D18" s="9">
        <v>4.3121103999999999</v>
      </c>
      <c r="E18" s="9">
        <v>2.2535172000000001</v>
      </c>
      <c r="F18" s="9">
        <v>1.6584650493989432</v>
      </c>
      <c r="G18" s="9">
        <v>1.4653559921838923</v>
      </c>
      <c r="H18" s="9">
        <v>1.2644972000000001</v>
      </c>
      <c r="I18" s="9">
        <v>-4.4831443000000002</v>
      </c>
      <c r="J18" s="38">
        <f t="shared" si="0"/>
        <v>1.0478155999999999E-2</v>
      </c>
      <c r="K18" s="42">
        <f t="shared" si="1"/>
        <v>2.0585931999999998E-2</v>
      </c>
      <c r="L18" s="40">
        <f t="shared" si="2"/>
        <v>5.7476415000000003E-2</v>
      </c>
    </row>
    <row r="19" spans="1:12" x14ac:dyDescent="0.2">
      <c r="A19" s="2">
        <v>37621</v>
      </c>
      <c r="B19" s="9">
        <v>4.9674997000000003</v>
      </c>
      <c r="C19" s="9">
        <v>4.032381</v>
      </c>
      <c r="D19" s="9">
        <v>3.8894627000000002</v>
      </c>
      <c r="E19" s="9">
        <v>2.4802680000000001</v>
      </c>
      <c r="F19" s="9">
        <v>1.6521399109968118</v>
      </c>
      <c r="G19" s="9">
        <v>1.4410507056385571</v>
      </c>
      <c r="H19" s="9">
        <v>1.2644972000000001</v>
      </c>
      <c r="I19" s="9">
        <v>-4.4831443000000002</v>
      </c>
      <c r="J19" s="38">
        <f t="shared" si="0"/>
        <v>9.3511870000000039E-3</v>
      </c>
      <c r="K19" s="42">
        <f t="shared" si="1"/>
        <v>1.4091947000000001E-2</v>
      </c>
      <c r="L19" s="40">
        <f t="shared" si="2"/>
        <v>5.7476415000000003E-2</v>
      </c>
    </row>
    <row r="20" spans="1:12" x14ac:dyDescent="0.2">
      <c r="A20" s="2">
        <v>37652</v>
      </c>
      <c r="B20" s="9">
        <v>4.9638084999999998</v>
      </c>
      <c r="C20" s="9">
        <v>4.0485709999999999</v>
      </c>
      <c r="D20" s="9">
        <v>4.3832817000000004</v>
      </c>
      <c r="E20" s="9">
        <v>2.7574510000000001</v>
      </c>
      <c r="F20" s="9">
        <v>1.6521399109968118</v>
      </c>
      <c r="G20" s="9">
        <v>1.4410507056385571</v>
      </c>
      <c r="H20" s="9">
        <v>1.1663178999999999</v>
      </c>
      <c r="I20" s="9">
        <v>-4.8455500000000002</v>
      </c>
      <c r="J20" s="38">
        <f t="shared" si="0"/>
        <v>9.1523749999999991E-3</v>
      </c>
      <c r="K20" s="42">
        <f t="shared" si="1"/>
        <v>1.6258307000000003E-2</v>
      </c>
      <c r="L20" s="40">
        <f t="shared" si="2"/>
        <v>6.0118679000000001E-2</v>
      </c>
    </row>
    <row r="21" spans="1:12" x14ac:dyDescent="0.2">
      <c r="A21" s="2">
        <v>37680</v>
      </c>
      <c r="B21" s="9">
        <v>5.0105269999999997</v>
      </c>
      <c r="C21" s="9">
        <v>3.9026318</v>
      </c>
      <c r="D21" s="9">
        <v>4.5731780000000004</v>
      </c>
      <c r="E21" s="9">
        <v>3.1460688000000001</v>
      </c>
      <c r="F21" s="9">
        <v>1.6521399109968118</v>
      </c>
      <c r="G21" s="9">
        <v>1.4410507056385571</v>
      </c>
      <c r="H21" s="9">
        <v>1.1663178000000001</v>
      </c>
      <c r="I21" s="9">
        <v>-4.8455500000000002</v>
      </c>
      <c r="J21" s="38">
        <f t="shared" si="0"/>
        <v>1.1078951999999998E-2</v>
      </c>
      <c r="K21" s="42">
        <f t="shared" si="1"/>
        <v>1.4271092000000003E-2</v>
      </c>
      <c r="L21" s="40">
        <f t="shared" si="2"/>
        <v>6.0118678000000002E-2</v>
      </c>
    </row>
    <row r="22" spans="1:12" x14ac:dyDescent="0.2">
      <c r="A22" s="2">
        <v>37711</v>
      </c>
      <c r="B22" s="9">
        <v>4.9971430000000003</v>
      </c>
      <c r="C22" s="9">
        <v>3.8071427</v>
      </c>
      <c r="D22" s="9">
        <v>4.2510076000000003</v>
      </c>
      <c r="E22" s="9">
        <v>3.0251937</v>
      </c>
      <c r="F22" s="9">
        <v>1.5305616005466594</v>
      </c>
      <c r="G22" s="9">
        <v>1.388899530964383</v>
      </c>
      <c r="H22" s="9">
        <v>1.1663178999999999</v>
      </c>
      <c r="I22" s="9">
        <v>-4.8455500000000002</v>
      </c>
      <c r="J22" s="38">
        <f t="shared" si="0"/>
        <v>1.1900003000000003E-2</v>
      </c>
      <c r="K22" s="42">
        <f t="shared" si="1"/>
        <v>1.2258139000000003E-2</v>
      </c>
      <c r="L22" s="40">
        <f t="shared" si="2"/>
        <v>6.0118679000000001E-2</v>
      </c>
    </row>
    <row r="23" spans="1:12" x14ac:dyDescent="0.2">
      <c r="A23" s="2">
        <v>37741</v>
      </c>
      <c r="B23" s="9">
        <v>5.0519056000000004</v>
      </c>
      <c r="C23" s="9">
        <v>3.9585712000000002</v>
      </c>
      <c r="D23" s="9">
        <v>2.8140700000000001</v>
      </c>
      <c r="E23" s="9">
        <v>2.1751255999999999</v>
      </c>
      <c r="F23" s="9">
        <v>1.5305616005466594</v>
      </c>
      <c r="G23" s="9">
        <v>1.388899530964383</v>
      </c>
      <c r="H23" s="9">
        <v>0.3060466</v>
      </c>
      <c r="I23" s="9">
        <v>-4.573099</v>
      </c>
      <c r="J23" s="38">
        <f t="shared" si="0"/>
        <v>1.0933344000000003E-2</v>
      </c>
      <c r="K23" s="42">
        <f t="shared" si="1"/>
        <v>6.3894440000000019E-3</v>
      </c>
      <c r="L23" s="40">
        <f t="shared" si="2"/>
        <v>4.8791456000000004E-2</v>
      </c>
    </row>
    <row r="24" spans="1:12" x14ac:dyDescent="0.2">
      <c r="A24" s="2">
        <v>37772</v>
      </c>
      <c r="B24" s="9">
        <v>4.6859994</v>
      </c>
      <c r="C24" s="9">
        <v>3.5690474999999999</v>
      </c>
      <c r="D24" s="9">
        <v>2.7162936000000002</v>
      </c>
      <c r="E24" s="9">
        <v>1.8941444999999999</v>
      </c>
      <c r="F24" s="9">
        <v>1.5305616005466594</v>
      </c>
      <c r="G24" s="9">
        <v>1.388899530964383</v>
      </c>
      <c r="H24" s="9">
        <v>0.3060466</v>
      </c>
      <c r="I24" s="9">
        <v>-4.573099</v>
      </c>
      <c r="J24" s="38">
        <f t="shared" si="0"/>
        <v>1.1169519000000001E-2</v>
      </c>
      <c r="K24" s="42">
        <f t="shared" si="1"/>
        <v>8.2214910000000026E-3</v>
      </c>
      <c r="L24" s="40">
        <f t="shared" si="2"/>
        <v>4.8791456000000004E-2</v>
      </c>
    </row>
    <row r="25" spans="1:12" x14ac:dyDescent="0.2">
      <c r="A25" s="2">
        <v>37802</v>
      </c>
      <c r="B25" s="9">
        <v>4.2880954999999998</v>
      </c>
      <c r="C25" s="9">
        <v>3.3342860000000001</v>
      </c>
      <c r="D25" s="9">
        <v>2.7108474</v>
      </c>
      <c r="E25" s="9">
        <v>1.9487736</v>
      </c>
      <c r="F25" s="9">
        <v>1.4153176460606927</v>
      </c>
      <c r="G25" s="9">
        <v>1.4350122901171947</v>
      </c>
      <c r="H25" s="9">
        <v>0.3060466</v>
      </c>
      <c r="I25" s="9">
        <v>-4.573099</v>
      </c>
      <c r="J25" s="38">
        <f t="shared" si="0"/>
        <v>9.5380949999999982E-3</v>
      </c>
      <c r="K25" s="42">
        <f t="shared" si="1"/>
        <v>7.6207380000000002E-3</v>
      </c>
      <c r="L25" s="40">
        <f t="shared" si="2"/>
        <v>4.8791456000000004E-2</v>
      </c>
    </row>
    <row r="26" spans="1:12" x14ac:dyDescent="0.2">
      <c r="A26" s="2">
        <v>37833</v>
      </c>
      <c r="B26" s="9">
        <v>4.6904754999999998</v>
      </c>
      <c r="C26" s="9">
        <v>3.9754545999999999</v>
      </c>
      <c r="D26" s="9">
        <v>2.1934130000000001</v>
      </c>
      <c r="E26" s="9">
        <v>2.0555549000000002</v>
      </c>
      <c r="F26" s="9">
        <v>1.4153176460606927</v>
      </c>
      <c r="G26" s="9">
        <v>1.4350122901171947</v>
      </c>
      <c r="H26" s="9">
        <v>1.6590691</v>
      </c>
      <c r="I26" s="9">
        <v>-4.4993069999999999</v>
      </c>
      <c r="J26" s="38">
        <f t="shared" si="0"/>
        <v>7.1502089999999985E-3</v>
      </c>
      <c r="K26" s="42">
        <f t="shared" si="1"/>
        <v>1.3785809999999987E-3</v>
      </c>
      <c r="L26" s="40">
        <f t="shared" si="2"/>
        <v>6.1583761000000001E-2</v>
      </c>
    </row>
    <row r="27" spans="1:12" x14ac:dyDescent="0.2">
      <c r="A27" s="2">
        <v>37864</v>
      </c>
      <c r="B27" s="9">
        <v>4.9019994999999996</v>
      </c>
      <c r="C27" s="9">
        <v>4.4452375999999996</v>
      </c>
      <c r="D27" s="9">
        <v>2.0854081999999998</v>
      </c>
      <c r="E27" s="9">
        <v>2.2160625</v>
      </c>
      <c r="F27" s="9">
        <v>1.4153176460606927</v>
      </c>
      <c r="G27" s="9">
        <v>1.4350122901171947</v>
      </c>
      <c r="H27" s="9">
        <v>1.6590691</v>
      </c>
      <c r="I27" s="9">
        <v>-4.4993069999999999</v>
      </c>
      <c r="J27" s="38">
        <f t="shared" si="0"/>
        <v>4.5676190000000002E-3</v>
      </c>
      <c r="K27" s="42">
        <f t="shared" si="1"/>
        <v>-1.3065430000000022E-3</v>
      </c>
      <c r="L27" s="40">
        <f t="shared" si="2"/>
        <v>6.1583761000000001E-2</v>
      </c>
    </row>
    <row r="28" spans="1:12" x14ac:dyDescent="0.2">
      <c r="A28" s="2">
        <v>37894</v>
      </c>
      <c r="B28" s="9">
        <v>4.757142</v>
      </c>
      <c r="C28" s="9">
        <v>4.2742867000000002</v>
      </c>
      <c r="D28" s="9">
        <v>2.1825329999999998</v>
      </c>
      <c r="E28" s="9">
        <v>2.3783197</v>
      </c>
      <c r="F28" s="9">
        <v>1.3275172746229096</v>
      </c>
      <c r="G28" s="9">
        <v>1.6174069933868995</v>
      </c>
      <c r="H28" s="9">
        <v>1.6590691</v>
      </c>
      <c r="I28" s="9">
        <v>-4.4993069999999999</v>
      </c>
      <c r="J28" s="38">
        <f t="shared" si="0"/>
        <v>4.8285529999999976E-3</v>
      </c>
      <c r="K28" s="42">
        <f t="shared" si="1"/>
        <v>-1.957867000000002E-3</v>
      </c>
      <c r="L28" s="40">
        <f t="shared" si="2"/>
        <v>6.1583761000000001E-2</v>
      </c>
    </row>
    <row r="29" spans="1:12" x14ac:dyDescent="0.2">
      <c r="A29" s="2">
        <v>37925</v>
      </c>
      <c r="B29" s="9">
        <v>4.8154545000000004</v>
      </c>
      <c r="C29" s="9">
        <v>4.2904353000000004</v>
      </c>
      <c r="D29" s="9">
        <v>1.5794619999999999</v>
      </c>
      <c r="E29" s="9">
        <v>2.0419421</v>
      </c>
      <c r="F29" s="9">
        <v>1.3275172746229096</v>
      </c>
      <c r="G29" s="9">
        <v>1.6174069933868995</v>
      </c>
      <c r="H29" s="9">
        <v>1.7710961000000001</v>
      </c>
      <c r="I29" s="9">
        <v>-4.3318877000000002</v>
      </c>
      <c r="J29" s="38">
        <f t="shared" si="0"/>
        <v>5.2501919999999999E-3</v>
      </c>
      <c r="K29" s="42">
        <f t="shared" si="1"/>
        <v>-4.6248010000000004E-3</v>
      </c>
      <c r="L29" s="40">
        <f t="shared" si="2"/>
        <v>6.1029838000000003E-2</v>
      </c>
    </row>
    <row r="30" spans="1:12" x14ac:dyDescent="0.2">
      <c r="A30" s="2">
        <v>37955</v>
      </c>
      <c r="B30" s="9">
        <v>4.8594445999999998</v>
      </c>
      <c r="C30" s="9">
        <v>4.3099999999999996</v>
      </c>
      <c r="D30" s="9">
        <v>1.4763776</v>
      </c>
      <c r="E30" s="9">
        <v>1.9283735</v>
      </c>
      <c r="F30" s="9">
        <v>1.3275172746229096</v>
      </c>
      <c r="G30" s="9">
        <v>1.6174069933868995</v>
      </c>
      <c r="H30" s="9">
        <v>1.7710961000000001</v>
      </c>
      <c r="I30" s="9">
        <v>-4.3318877000000002</v>
      </c>
      <c r="J30" s="38">
        <f t="shared" si="0"/>
        <v>5.4944460000000018E-3</v>
      </c>
      <c r="K30" s="42">
        <f t="shared" si="1"/>
        <v>-4.5199590000000005E-3</v>
      </c>
      <c r="L30" s="40">
        <f t="shared" si="2"/>
        <v>6.1029838000000003E-2</v>
      </c>
    </row>
    <row r="31" spans="1:12" x14ac:dyDescent="0.2">
      <c r="A31" s="2">
        <v>37986</v>
      </c>
      <c r="B31" s="9">
        <v>4.7290473000000004</v>
      </c>
      <c r="C31" s="9">
        <v>4.2677263999999999</v>
      </c>
      <c r="D31" s="9">
        <v>2.0689633000000001</v>
      </c>
      <c r="E31" s="9">
        <v>2.0352027000000001</v>
      </c>
      <c r="F31" s="9">
        <v>1.3533513078627877</v>
      </c>
      <c r="G31" s="9">
        <v>1.7435616809942731</v>
      </c>
      <c r="H31" s="9">
        <v>1.7710961000000001</v>
      </c>
      <c r="I31" s="9">
        <v>-4.3318877000000002</v>
      </c>
      <c r="J31" s="38">
        <f t="shared" si="0"/>
        <v>4.6132090000000044E-3</v>
      </c>
      <c r="K31" s="42">
        <f t="shared" si="1"/>
        <v>3.3760599999999919E-4</v>
      </c>
      <c r="L31" s="40">
        <f t="shared" si="2"/>
        <v>6.1029838000000003E-2</v>
      </c>
    </row>
    <row r="32" spans="1:12" x14ac:dyDescent="0.2">
      <c r="A32" s="2">
        <v>38017</v>
      </c>
      <c r="B32" s="9">
        <v>4.5869993999999998</v>
      </c>
      <c r="C32" s="9">
        <v>4.1505013000000002</v>
      </c>
      <c r="D32" s="9">
        <v>1.2695234</v>
      </c>
      <c r="E32" s="9">
        <v>2.0262864</v>
      </c>
      <c r="F32" s="9">
        <v>1.3533513078627877</v>
      </c>
      <c r="G32" s="9">
        <v>1.7435616809942731</v>
      </c>
      <c r="H32" s="9">
        <v>2.1061304000000001</v>
      </c>
      <c r="I32" s="9">
        <v>-4.5956172999999998</v>
      </c>
      <c r="J32" s="38">
        <f t="shared" si="0"/>
        <v>4.3649809999999969E-3</v>
      </c>
      <c r="K32" s="42">
        <f t="shared" si="1"/>
        <v>-7.5676300000000005E-3</v>
      </c>
      <c r="L32" s="40">
        <f t="shared" si="2"/>
        <v>6.7017477000000006E-2</v>
      </c>
    </row>
    <row r="33" spans="1:12" x14ac:dyDescent="0.2">
      <c r="A33" s="2">
        <v>38046</v>
      </c>
      <c r="B33" s="9">
        <v>4.453684</v>
      </c>
      <c r="C33" s="9">
        <v>4.0842093999999998</v>
      </c>
      <c r="D33" s="9">
        <v>0.77744349999999995</v>
      </c>
      <c r="E33" s="9">
        <v>1.6884505999999999</v>
      </c>
      <c r="F33" s="9">
        <v>1.3533513078627877</v>
      </c>
      <c r="G33" s="9">
        <v>1.7435616809942731</v>
      </c>
      <c r="H33" s="9">
        <v>2.1061306000000002</v>
      </c>
      <c r="I33" s="9">
        <v>-4.5956172999999998</v>
      </c>
      <c r="J33" s="38">
        <f t="shared" si="0"/>
        <v>3.6947460000000022E-3</v>
      </c>
      <c r="K33" s="42">
        <f t="shared" si="1"/>
        <v>-9.1100709999999991E-3</v>
      </c>
      <c r="L33" s="40">
        <f t="shared" si="2"/>
        <v>6.7017479000000005E-2</v>
      </c>
    </row>
    <row r="34" spans="1:12" x14ac:dyDescent="0.2">
      <c r="A34" s="2">
        <v>38077</v>
      </c>
      <c r="B34" s="9">
        <v>4.2604340000000001</v>
      </c>
      <c r="C34" s="9">
        <v>3.8265220000000002</v>
      </c>
      <c r="D34" s="9">
        <v>0.67960566</v>
      </c>
      <c r="E34" s="9">
        <v>1.7400863</v>
      </c>
      <c r="F34" s="9">
        <v>1.3840178016243014</v>
      </c>
      <c r="G34" s="9">
        <v>1.7481014512418518</v>
      </c>
      <c r="H34" s="9">
        <v>2.1061306000000002</v>
      </c>
      <c r="I34" s="9">
        <v>-4.5956172999999998</v>
      </c>
      <c r="J34" s="38">
        <f t="shared" si="0"/>
        <v>4.3391199999999984E-3</v>
      </c>
      <c r="K34" s="42">
        <f t="shared" si="1"/>
        <v>-1.06048064E-2</v>
      </c>
      <c r="L34" s="40">
        <f t="shared" si="2"/>
        <v>6.7017479000000005E-2</v>
      </c>
    </row>
    <row r="35" spans="1:12" x14ac:dyDescent="0.2">
      <c r="A35" s="2">
        <v>38107</v>
      </c>
      <c r="B35" s="9">
        <v>4.612857</v>
      </c>
      <c r="C35" s="9">
        <v>4.3476195000000004</v>
      </c>
      <c r="D35" s="9">
        <v>1.6617701</v>
      </c>
      <c r="E35" s="9">
        <v>2.2925732000000001</v>
      </c>
      <c r="F35" s="9">
        <v>1.3840178016243014</v>
      </c>
      <c r="G35" s="9">
        <v>1.7481014512418518</v>
      </c>
      <c r="H35" s="9">
        <v>2.7177693999999999</v>
      </c>
      <c r="I35" s="9">
        <v>-5.1551676000000004</v>
      </c>
      <c r="J35" s="38">
        <f t="shared" si="0"/>
        <v>2.6523749999999959E-3</v>
      </c>
      <c r="K35" s="42">
        <f t="shared" si="1"/>
        <v>-6.3080310000000004E-3</v>
      </c>
      <c r="L35" s="40">
        <f t="shared" si="2"/>
        <v>7.8729370000000007E-2</v>
      </c>
    </row>
    <row r="36" spans="1:12" x14ac:dyDescent="0.2">
      <c r="A36" s="2">
        <v>38138</v>
      </c>
      <c r="B36" s="9">
        <v>4.7726316000000004</v>
      </c>
      <c r="C36" s="9">
        <v>4.7154999999999996</v>
      </c>
      <c r="D36" s="9">
        <v>2.5465152</v>
      </c>
      <c r="E36" s="9">
        <v>2.8977628000000002</v>
      </c>
      <c r="F36" s="9">
        <v>1.3840178016243014</v>
      </c>
      <c r="G36" s="9">
        <v>1.7481014512418518</v>
      </c>
      <c r="H36" s="9">
        <v>2.7177693999999999</v>
      </c>
      <c r="I36" s="9">
        <v>-5.1551676000000004</v>
      </c>
      <c r="J36" s="38">
        <f t="shared" si="0"/>
        <v>5.7131600000000834E-4</v>
      </c>
      <c r="K36" s="42">
        <f t="shared" si="1"/>
        <v>-3.5124760000000022E-3</v>
      </c>
      <c r="L36" s="40">
        <f t="shared" si="2"/>
        <v>7.8729370000000007E-2</v>
      </c>
    </row>
    <row r="37" spans="1:12" x14ac:dyDescent="0.2">
      <c r="A37" s="2">
        <v>38168</v>
      </c>
      <c r="B37" s="9">
        <v>4.9290475999999996</v>
      </c>
      <c r="C37" s="9">
        <v>4.7338094999999996</v>
      </c>
      <c r="D37" s="9">
        <v>2.4437891999999999</v>
      </c>
      <c r="E37" s="9">
        <v>3.1676612</v>
      </c>
      <c r="F37" s="9">
        <v>1.5880486325776151</v>
      </c>
      <c r="G37" s="9">
        <v>1.7355251976343609</v>
      </c>
      <c r="H37" s="9">
        <v>2.7177696</v>
      </c>
      <c r="I37" s="9">
        <v>-5.1551676000000004</v>
      </c>
      <c r="J37" s="38">
        <f t="shared" si="0"/>
        <v>1.9523810000000009E-3</v>
      </c>
      <c r="K37" s="42">
        <f t="shared" si="1"/>
        <v>-7.2387200000000006E-3</v>
      </c>
      <c r="L37" s="40">
        <f t="shared" si="2"/>
        <v>7.8729372000000006E-2</v>
      </c>
    </row>
    <row r="38" spans="1:12" x14ac:dyDescent="0.2">
      <c r="A38" s="2">
        <v>38199</v>
      </c>
      <c r="B38" s="9">
        <v>4.7504996999999998</v>
      </c>
      <c r="C38" s="9">
        <v>4.4980954999999998</v>
      </c>
      <c r="D38" s="9">
        <v>2.2439076999999998</v>
      </c>
      <c r="E38" s="9">
        <v>2.939584</v>
      </c>
      <c r="F38" s="9">
        <v>1.5880486325776151</v>
      </c>
      <c r="G38" s="9">
        <v>1.7355251976343609</v>
      </c>
      <c r="H38" s="9">
        <v>2.3408410000000002</v>
      </c>
      <c r="I38" s="9">
        <v>-5.2498326000000004</v>
      </c>
      <c r="J38" s="38">
        <f t="shared" si="0"/>
        <v>2.5240419999999998E-3</v>
      </c>
      <c r="K38" s="42">
        <f t="shared" si="1"/>
        <v>-6.9567630000000012E-3</v>
      </c>
      <c r="L38" s="40">
        <f t="shared" si="2"/>
        <v>7.5906736000000002E-2</v>
      </c>
    </row>
    <row r="39" spans="1:12" x14ac:dyDescent="0.2">
      <c r="A39" s="2">
        <v>38230</v>
      </c>
      <c r="B39" s="9">
        <v>4.6309524</v>
      </c>
      <c r="C39" s="9">
        <v>4.2813635000000003</v>
      </c>
      <c r="D39" s="9">
        <v>1.8482394</v>
      </c>
      <c r="E39" s="9">
        <v>2.5474198000000001</v>
      </c>
      <c r="F39" s="9">
        <v>1.5880486325776151</v>
      </c>
      <c r="G39" s="9">
        <v>1.7355251976343609</v>
      </c>
      <c r="H39" s="9">
        <v>2.3408410000000002</v>
      </c>
      <c r="I39" s="9">
        <v>-5.2498326000000004</v>
      </c>
      <c r="J39" s="38">
        <f t="shared" si="0"/>
        <v>3.4958889999999964E-3</v>
      </c>
      <c r="K39" s="42">
        <f t="shared" si="1"/>
        <v>-6.9918040000000016E-3</v>
      </c>
      <c r="L39" s="40">
        <f t="shared" si="2"/>
        <v>7.5906736000000002E-2</v>
      </c>
    </row>
    <row r="40" spans="1:12" x14ac:dyDescent="0.2">
      <c r="A40" s="2">
        <v>38260</v>
      </c>
      <c r="B40" s="9">
        <v>4.6023807999999997</v>
      </c>
      <c r="C40" s="9">
        <v>4.1257140000000003</v>
      </c>
      <c r="D40" s="9">
        <v>1.7475753999999999</v>
      </c>
      <c r="E40" s="9">
        <v>2.5391623999999999</v>
      </c>
      <c r="F40" s="9">
        <v>1.6909042346584795</v>
      </c>
      <c r="G40" s="9">
        <v>1.6503340615313182</v>
      </c>
      <c r="H40" s="9">
        <v>2.3408410000000002</v>
      </c>
      <c r="I40" s="9">
        <v>-5.2498326000000004</v>
      </c>
      <c r="J40" s="38">
        <f t="shared" si="0"/>
        <v>4.7666679999999939E-3</v>
      </c>
      <c r="K40" s="42">
        <f t="shared" si="1"/>
        <v>-7.9158700000000002E-3</v>
      </c>
      <c r="L40" s="40">
        <f t="shared" si="2"/>
        <v>7.5906736000000002E-2</v>
      </c>
    </row>
    <row r="41" spans="1:12" x14ac:dyDescent="0.2">
      <c r="A41" s="2">
        <v>38291</v>
      </c>
      <c r="B41" s="9">
        <v>4.5499996999999999</v>
      </c>
      <c r="C41" s="9">
        <v>4.0995245000000002</v>
      </c>
      <c r="D41" s="9">
        <v>2.235169</v>
      </c>
      <c r="E41" s="9">
        <v>3.1909200000000002</v>
      </c>
      <c r="F41" s="9">
        <v>1.6909042346584795</v>
      </c>
      <c r="G41" s="9">
        <v>1.6503340615313182</v>
      </c>
      <c r="H41" s="9">
        <v>2.2137696999999998</v>
      </c>
      <c r="I41" s="9">
        <v>-5.7887089999999999</v>
      </c>
      <c r="J41" s="38">
        <f t="shared" si="0"/>
        <v>4.5047519999999964E-3</v>
      </c>
      <c r="K41" s="42">
        <f t="shared" si="1"/>
        <v>-9.5575100000000017E-3</v>
      </c>
      <c r="L41" s="40">
        <f t="shared" si="2"/>
        <v>8.0024786999999986E-2</v>
      </c>
    </row>
    <row r="42" spans="1:12" x14ac:dyDescent="0.2">
      <c r="A42" s="2">
        <v>38321</v>
      </c>
      <c r="B42" s="9">
        <v>4.4900007000000004</v>
      </c>
      <c r="C42" s="9">
        <v>4.1966662000000001</v>
      </c>
      <c r="D42" s="9">
        <v>2.5218240000000001</v>
      </c>
      <c r="E42" s="9">
        <v>3.6216219999999999</v>
      </c>
      <c r="F42" s="9">
        <v>1.6909042346584795</v>
      </c>
      <c r="G42" s="9">
        <v>1.6503340615313182</v>
      </c>
      <c r="H42" s="9">
        <v>2.2137696999999998</v>
      </c>
      <c r="I42" s="9">
        <v>-5.7887089999999999</v>
      </c>
      <c r="J42" s="38">
        <f t="shared" si="0"/>
        <v>2.9333450000000026E-3</v>
      </c>
      <c r="K42" s="42">
        <f t="shared" si="1"/>
        <v>-1.0997979999999997E-2</v>
      </c>
      <c r="L42" s="40">
        <f t="shared" si="2"/>
        <v>8.0024786999999986E-2</v>
      </c>
    </row>
    <row r="43" spans="1:12" x14ac:dyDescent="0.2">
      <c r="A43" s="2">
        <v>38352</v>
      </c>
      <c r="B43" s="9">
        <v>4.3205004000000002</v>
      </c>
      <c r="C43" s="9">
        <v>4.2309093000000004</v>
      </c>
      <c r="D43" s="9">
        <v>2.1235537999999998</v>
      </c>
      <c r="E43" s="9">
        <v>3.3423212000000002</v>
      </c>
      <c r="F43" s="9">
        <v>1.6950175684085025</v>
      </c>
      <c r="G43" s="9">
        <v>1.6325511882932093</v>
      </c>
      <c r="H43" s="9">
        <v>2.2137696999999998</v>
      </c>
      <c r="I43" s="9">
        <v>-5.7887089999999999</v>
      </c>
      <c r="J43" s="38">
        <f t="shared" si="0"/>
        <v>8.9591099999999815E-4</v>
      </c>
      <c r="K43" s="42">
        <f t="shared" si="1"/>
        <v>-1.2187674000000004E-2</v>
      </c>
      <c r="L43" s="40">
        <f t="shared" si="2"/>
        <v>8.0024786999999986E-2</v>
      </c>
    </row>
    <row r="44" spans="1:12" x14ac:dyDescent="0.2">
      <c r="A44" s="2">
        <v>38383</v>
      </c>
      <c r="B44" s="9">
        <v>4.2615794999999999</v>
      </c>
      <c r="C44" s="9">
        <v>4.2215004</v>
      </c>
      <c r="D44" s="9">
        <v>2.0250783000000001</v>
      </c>
      <c r="E44" s="9">
        <v>2.8448782000000001</v>
      </c>
      <c r="F44" s="9">
        <v>1.6950175684085025</v>
      </c>
      <c r="G44" s="9">
        <v>1.6325511882932093</v>
      </c>
      <c r="H44" s="9">
        <v>0.90297640000000001</v>
      </c>
      <c r="I44" s="9">
        <v>-5.3519287000000002</v>
      </c>
      <c r="J44" s="38">
        <f t="shared" si="0"/>
        <v>4.0079099999999811E-4</v>
      </c>
      <c r="K44" s="42">
        <f t="shared" si="1"/>
        <v>-8.197999000000001E-3</v>
      </c>
      <c r="L44" s="40">
        <f t="shared" si="2"/>
        <v>6.2549051000000008E-2</v>
      </c>
    </row>
    <row r="45" spans="1:12" x14ac:dyDescent="0.2">
      <c r="A45" s="2">
        <v>38411</v>
      </c>
      <c r="B45" s="9">
        <v>4.2026314999999999</v>
      </c>
      <c r="C45" s="9">
        <v>4.1652620000000002</v>
      </c>
      <c r="D45" s="9">
        <v>2.1215137999999998</v>
      </c>
      <c r="E45" s="9">
        <v>3.0530235999999999</v>
      </c>
      <c r="F45" s="9">
        <v>1.6950175684085025</v>
      </c>
      <c r="G45" s="9">
        <v>1.6325511882932093</v>
      </c>
      <c r="H45" s="9">
        <v>0.90297645000000004</v>
      </c>
      <c r="I45" s="9">
        <v>-5.3519287000000002</v>
      </c>
      <c r="J45" s="38">
        <f t="shared" si="0"/>
        <v>3.736949999999961E-4</v>
      </c>
      <c r="K45" s="42">
        <f t="shared" si="1"/>
        <v>-9.3150980000000008E-3</v>
      </c>
      <c r="L45" s="40">
        <f t="shared" si="2"/>
        <v>6.2549051499999994E-2</v>
      </c>
    </row>
    <row r="46" spans="1:12" x14ac:dyDescent="0.2">
      <c r="A46" s="2">
        <v>38442</v>
      </c>
      <c r="B46" s="9">
        <v>4.3581814999999997</v>
      </c>
      <c r="C46" s="9">
        <v>4.4977270000000003</v>
      </c>
      <c r="D46" s="9">
        <v>2.4107970000000001</v>
      </c>
      <c r="E46" s="9">
        <v>3.2068436</v>
      </c>
      <c r="F46" s="9">
        <v>1.6486644472680481</v>
      </c>
      <c r="G46" s="9">
        <v>1.6995204298932076</v>
      </c>
      <c r="H46" s="9">
        <v>0.90297640000000001</v>
      </c>
      <c r="I46" s="9">
        <v>-5.3519287000000002</v>
      </c>
      <c r="J46" s="38">
        <f t="shared" si="0"/>
        <v>-1.3954550000000055E-3</v>
      </c>
      <c r="K46" s="42">
        <f t="shared" si="1"/>
        <v>-7.9604659999999994E-3</v>
      </c>
      <c r="L46" s="40">
        <f t="shared" si="2"/>
        <v>6.2549051000000008E-2</v>
      </c>
    </row>
    <row r="47" spans="1:12" x14ac:dyDescent="0.2">
      <c r="A47" s="2">
        <v>38472</v>
      </c>
      <c r="B47" s="9">
        <v>4.1938089999999999</v>
      </c>
      <c r="C47" s="9">
        <v>4.340954</v>
      </c>
      <c r="D47" s="9">
        <v>2.3076932000000001</v>
      </c>
      <c r="E47" s="9">
        <v>3.3617925999999998</v>
      </c>
      <c r="F47" s="9">
        <v>1.6486644472680481</v>
      </c>
      <c r="G47" s="9">
        <v>1.6995204298932076</v>
      </c>
      <c r="H47" s="9">
        <v>1.1088819999999999</v>
      </c>
      <c r="I47" s="9">
        <v>-5.5914820000000001</v>
      </c>
      <c r="J47" s="38">
        <f t="shared" si="0"/>
        <v>-1.4714500000000009E-3</v>
      </c>
      <c r="K47" s="42">
        <f t="shared" si="1"/>
        <v>-1.0540993999999996E-2</v>
      </c>
      <c r="L47" s="40">
        <f t="shared" si="2"/>
        <v>6.7003640000000003E-2</v>
      </c>
    </row>
    <row r="48" spans="1:12" x14ac:dyDescent="0.2">
      <c r="A48" s="2">
        <v>38503</v>
      </c>
      <c r="B48" s="9">
        <v>4.0795000000000003</v>
      </c>
      <c r="C48" s="9">
        <v>4.1442857000000002</v>
      </c>
      <c r="D48" s="9">
        <v>1.5281868000000001</v>
      </c>
      <c r="E48" s="9">
        <v>2.8692966000000002</v>
      </c>
      <c r="F48" s="9">
        <v>1.6486644472680481</v>
      </c>
      <c r="G48" s="9">
        <v>1.6995204298932076</v>
      </c>
      <c r="H48" s="9">
        <v>1.1088819999999999</v>
      </c>
      <c r="I48" s="9">
        <v>-5.5914820000000001</v>
      </c>
      <c r="J48" s="38">
        <f t="shared" si="0"/>
        <v>-6.4785699999999832E-4</v>
      </c>
      <c r="K48" s="42">
        <f t="shared" si="1"/>
        <v>-1.3411098000000002E-2</v>
      </c>
      <c r="L48" s="40">
        <f t="shared" si="2"/>
        <v>6.7003640000000003E-2</v>
      </c>
    </row>
    <row r="49" spans="1:12" x14ac:dyDescent="0.2">
      <c r="A49" s="2">
        <v>38533</v>
      </c>
      <c r="B49" s="9">
        <v>3.828182</v>
      </c>
      <c r="C49" s="9">
        <v>3.9981817999999998</v>
      </c>
      <c r="D49" s="9">
        <v>1.717552</v>
      </c>
      <c r="E49" s="9">
        <v>2.5410256000000002</v>
      </c>
      <c r="F49" s="9">
        <v>1.5885422341495179</v>
      </c>
      <c r="G49" s="9">
        <v>1.6652405391553657</v>
      </c>
      <c r="H49" s="9">
        <v>1.1088818</v>
      </c>
      <c r="I49" s="9">
        <v>-5.5914820000000001</v>
      </c>
      <c r="J49" s="38">
        <f t="shared" si="0"/>
        <v>-1.6999979999999981E-3</v>
      </c>
      <c r="K49" s="42">
        <f t="shared" si="1"/>
        <v>-8.2347360000000029E-3</v>
      </c>
      <c r="L49" s="40">
        <f t="shared" si="2"/>
        <v>6.7003638000000004E-2</v>
      </c>
    </row>
    <row r="50" spans="1:12" x14ac:dyDescent="0.2">
      <c r="A50" s="2">
        <v>38564</v>
      </c>
      <c r="B50" s="9">
        <v>3.9021056000000001</v>
      </c>
      <c r="C50" s="9">
        <v>4.1774993</v>
      </c>
      <c r="D50" s="9">
        <v>1.908399</v>
      </c>
      <c r="E50" s="9">
        <v>3.0671539999999999</v>
      </c>
      <c r="F50" s="9">
        <v>1.5885422341495179</v>
      </c>
      <c r="G50" s="9">
        <v>1.6652405391553657</v>
      </c>
      <c r="H50" s="9">
        <v>2.2026564999999998</v>
      </c>
      <c r="I50" s="9">
        <v>-5.7277069999999997</v>
      </c>
      <c r="J50" s="38">
        <f t="shared" si="0"/>
        <v>-2.7539369999999997E-3</v>
      </c>
      <c r="K50" s="42">
        <f t="shared" si="1"/>
        <v>-1.158755E-2</v>
      </c>
      <c r="L50" s="40">
        <f t="shared" si="2"/>
        <v>7.9303634999999997E-2</v>
      </c>
    </row>
    <row r="51" spans="1:12" x14ac:dyDescent="0.2">
      <c r="A51" s="2">
        <v>38595</v>
      </c>
      <c r="B51" s="9">
        <v>3.9204542999999998</v>
      </c>
      <c r="C51" s="9">
        <v>4.2626084999999998</v>
      </c>
      <c r="D51" s="9">
        <v>2.4832939999999999</v>
      </c>
      <c r="E51" s="9">
        <v>3.6469437999999998</v>
      </c>
      <c r="F51" s="9">
        <v>1.5885422341495179</v>
      </c>
      <c r="G51" s="9">
        <v>1.6652405391553657</v>
      </c>
      <c r="H51" s="9">
        <v>2.2026566999999999</v>
      </c>
      <c r="I51" s="9">
        <v>-5.7277069999999997</v>
      </c>
      <c r="J51" s="38">
        <f t="shared" si="0"/>
        <v>-3.4215419999999996E-3</v>
      </c>
      <c r="K51" s="42">
        <f t="shared" si="1"/>
        <v>-1.1636498E-2</v>
      </c>
      <c r="L51" s="40">
        <f t="shared" si="2"/>
        <v>7.9303636999999996E-2</v>
      </c>
    </row>
    <row r="52" spans="1:12" x14ac:dyDescent="0.2">
      <c r="A52" s="2">
        <v>38625</v>
      </c>
      <c r="B52" s="9">
        <v>3.8685717999999998</v>
      </c>
      <c r="C52" s="9">
        <v>4.1990480000000003</v>
      </c>
      <c r="D52" s="9">
        <v>3.3396963999999998</v>
      </c>
      <c r="E52" s="9">
        <v>4.7418294000000003</v>
      </c>
      <c r="F52" s="9">
        <v>1.5925086514271147</v>
      </c>
      <c r="G52" s="9">
        <v>1.6446548057256232</v>
      </c>
      <c r="H52" s="9">
        <v>2.2026564999999998</v>
      </c>
      <c r="I52" s="9">
        <v>-5.7277069999999997</v>
      </c>
      <c r="J52" s="38">
        <f t="shared" si="0"/>
        <v>-3.3047620000000054E-3</v>
      </c>
      <c r="K52" s="42">
        <f t="shared" si="1"/>
        <v>-1.4021330000000005E-2</v>
      </c>
      <c r="L52" s="40">
        <f t="shared" si="2"/>
        <v>7.9303634999999997E-2</v>
      </c>
    </row>
    <row r="53" spans="1:12" x14ac:dyDescent="0.2">
      <c r="A53" s="2">
        <v>38656</v>
      </c>
      <c r="B53" s="9">
        <v>4.0469999999999997</v>
      </c>
      <c r="C53" s="9">
        <v>4.4580956</v>
      </c>
      <c r="D53" s="9">
        <v>2.7566573999999999</v>
      </c>
      <c r="E53" s="9">
        <v>4.3501023999999999</v>
      </c>
      <c r="F53" s="9">
        <v>1.5925086514271147</v>
      </c>
      <c r="G53" s="9">
        <v>1.6446548057256232</v>
      </c>
      <c r="H53" s="9">
        <v>3.4004881</v>
      </c>
      <c r="I53" s="9">
        <v>-6.2914976999999999</v>
      </c>
      <c r="J53" s="38">
        <f t="shared" si="0"/>
        <v>-4.1109560000000033E-3</v>
      </c>
      <c r="K53" s="42">
        <f t="shared" si="1"/>
        <v>-1.5934449999999999E-2</v>
      </c>
      <c r="L53" s="40">
        <f t="shared" si="2"/>
        <v>9.6919857999999998E-2</v>
      </c>
    </row>
    <row r="54" spans="1:12" x14ac:dyDescent="0.2">
      <c r="A54" s="2">
        <v>38686</v>
      </c>
      <c r="B54" s="9">
        <v>4.1120000000000001</v>
      </c>
      <c r="C54" s="9">
        <v>4.5357139999999996</v>
      </c>
      <c r="D54" s="9">
        <v>2.0813714999999999</v>
      </c>
      <c r="E54" s="9">
        <v>3.3385612999999998</v>
      </c>
      <c r="F54" s="9">
        <v>1.5925086514271147</v>
      </c>
      <c r="G54" s="9">
        <v>1.6446548057256232</v>
      </c>
      <c r="H54" s="9">
        <v>3.4004881</v>
      </c>
      <c r="I54" s="9">
        <v>-6.2914976999999999</v>
      </c>
      <c r="J54" s="38">
        <f t="shared" si="0"/>
        <v>-4.2371399999999951E-3</v>
      </c>
      <c r="K54" s="42">
        <f t="shared" si="1"/>
        <v>-1.2571898E-2</v>
      </c>
      <c r="L54" s="40">
        <f t="shared" si="2"/>
        <v>9.6919857999999998E-2</v>
      </c>
    </row>
    <row r="55" spans="1:12" x14ac:dyDescent="0.2">
      <c r="A55" s="2">
        <v>38717</v>
      </c>
      <c r="B55" s="9">
        <v>4.0410003999999997</v>
      </c>
      <c r="C55" s="9">
        <v>4.4671434999999997</v>
      </c>
      <c r="D55" s="9">
        <v>2.0793965000000001</v>
      </c>
      <c r="E55" s="9">
        <v>3.3385612999999998</v>
      </c>
      <c r="F55" s="9">
        <v>1.6282003548590305</v>
      </c>
      <c r="G55" s="9">
        <v>1.5837863046243006</v>
      </c>
      <c r="H55" s="9">
        <v>3.4004886000000001</v>
      </c>
      <c r="I55" s="9">
        <v>-6.2914976999999999</v>
      </c>
      <c r="J55" s="38">
        <f t="shared" si="0"/>
        <v>-4.2614309999999996E-3</v>
      </c>
      <c r="K55" s="42">
        <f t="shared" si="1"/>
        <v>-1.2591647999999997E-2</v>
      </c>
      <c r="L55" s="40">
        <f t="shared" si="2"/>
        <v>9.6919862999999995E-2</v>
      </c>
    </row>
    <row r="56" spans="1:12" x14ac:dyDescent="0.2">
      <c r="A56" s="2">
        <v>38748</v>
      </c>
      <c r="B56" s="9">
        <v>4.0315003000000003</v>
      </c>
      <c r="C56" s="9">
        <v>4.4159993999999996</v>
      </c>
      <c r="D56" s="9">
        <v>2.9300594000000002</v>
      </c>
      <c r="E56" s="9">
        <v>4.0187844999999998</v>
      </c>
      <c r="F56" s="9">
        <v>1.6282003548590305</v>
      </c>
      <c r="G56" s="9">
        <v>1.5837863046243006</v>
      </c>
      <c r="H56" s="9">
        <v>1.8501354000000001</v>
      </c>
      <c r="I56" s="9">
        <v>-5.8681855000000001</v>
      </c>
      <c r="J56" s="38">
        <f t="shared" si="0"/>
        <v>-3.8449909999999934E-3</v>
      </c>
      <c r="K56" s="42">
        <f t="shared" si="1"/>
        <v>-1.0887250999999995E-2</v>
      </c>
      <c r="L56" s="40">
        <f t="shared" si="2"/>
        <v>7.7183209000000003E-2</v>
      </c>
    </row>
    <row r="57" spans="1:12" x14ac:dyDescent="0.2">
      <c r="A57" s="2">
        <v>38776</v>
      </c>
      <c r="B57" s="9">
        <v>4.1731577</v>
      </c>
      <c r="C57" s="9">
        <v>4.5688943999999996</v>
      </c>
      <c r="D57" s="9">
        <v>2.4551466</v>
      </c>
      <c r="E57" s="9">
        <v>3.6382509999999999</v>
      </c>
      <c r="F57" s="9">
        <v>1.6282003548590305</v>
      </c>
      <c r="G57" s="9">
        <v>1.5837863046243006</v>
      </c>
      <c r="H57" s="9">
        <v>1.8501354000000001</v>
      </c>
      <c r="I57" s="9">
        <v>-5.8681855000000001</v>
      </c>
      <c r="J57" s="38">
        <f t="shared" si="0"/>
        <v>-3.9573669999999964E-3</v>
      </c>
      <c r="K57" s="42">
        <f t="shared" si="1"/>
        <v>-1.1831043999999999E-2</v>
      </c>
      <c r="L57" s="40">
        <f t="shared" si="2"/>
        <v>7.7183209000000003E-2</v>
      </c>
    </row>
    <row r="58" spans="1:12" x14ac:dyDescent="0.2">
      <c r="A58" s="2">
        <v>38807</v>
      </c>
      <c r="B58" s="9">
        <v>4.198226</v>
      </c>
      <c r="C58" s="9">
        <v>4.7230787000000003</v>
      </c>
      <c r="D58" s="9">
        <v>2.2598957999999998</v>
      </c>
      <c r="E58" s="9">
        <v>3.4179143999999999</v>
      </c>
      <c r="F58" s="9">
        <v>1.6858983665817195</v>
      </c>
      <c r="G58" s="9">
        <v>1.6151051764326376</v>
      </c>
      <c r="H58" s="9">
        <v>1.8501354000000001</v>
      </c>
      <c r="I58" s="9">
        <v>-5.8681855000000001</v>
      </c>
      <c r="J58" s="38">
        <f t="shared" si="0"/>
        <v>-5.2485270000000028E-3</v>
      </c>
      <c r="K58" s="42">
        <f t="shared" si="1"/>
        <v>-1.1580186000000001E-2</v>
      </c>
      <c r="L58" s="40">
        <f t="shared" si="2"/>
        <v>7.7183209000000003E-2</v>
      </c>
    </row>
    <row r="59" spans="1:12" x14ac:dyDescent="0.2">
      <c r="A59" s="2">
        <v>38837</v>
      </c>
      <c r="B59" s="9">
        <v>4.4134840000000004</v>
      </c>
      <c r="C59" s="9">
        <v>4.9748044</v>
      </c>
      <c r="D59" s="9">
        <v>2.5375903000000002</v>
      </c>
      <c r="E59" s="9">
        <v>3.6138409999999999</v>
      </c>
      <c r="F59" s="9">
        <v>1.6858983665817195</v>
      </c>
      <c r="G59" s="9">
        <v>1.6151051764326376</v>
      </c>
      <c r="H59" s="9">
        <v>1.215255</v>
      </c>
      <c r="I59" s="9">
        <v>-5.9607849999999996</v>
      </c>
      <c r="J59" s="38">
        <f t="shared" si="0"/>
        <v>-5.6132039999999958E-3</v>
      </c>
      <c r="K59" s="42">
        <f t="shared" si="1"/>
        <v>-1.0762506999999998E-2</v>
      </c>
      <c r="L59" s="40">
        <f t="shared" si="2"/>
        <v>7.1760400000000002E-2</v>
      </c>
    </row>
    <row r="60" spans="1:12" x14ac:dyDescent="0.2">
      <c r="A60" s="2">
        <v>38868</v>
      </c>
      <c r="B60" s="9">
        <v>4.4032049999999998</v>
      </c>
      <c r="C60" s="9">
        <v>5.0998315999999999</v>
      </c>
      <c r="D60" s="9">
        <v>2.7281236999999998</v>
      </c>
      <c r="E60" s="9">
        <v>3.9772682000000001</v>
      </c>
      <c r="F60" s="9">
        <v>1.6858983665817195</v>
      </c>
      <c r="G60" s="9">
        <v>1.6151051764326376</v>
      </c>
      <c r="H60" s="9">
        <v>1.215255</v>
      </c>
      <c r="I60" s="9">
        <v>-5.9607849999999996</v>
      </c>
      <c r="J60" s="38">
        <f t="shared" si="0"/>
        <v>-6.9662660000000013E-3</v>
      </c>
      <c r="K60" s="42">
        <f t="shared" si="1"/>
        <v>-1.2491445000000004E-2</v>
      </c>
      <c r="L60" s="40">
        <f t="shared" si="2"/>
        <v>7.1760400000000002E-2</v>
      </c>
    </row>
    <row r="61" spans="1:12" x14ac:dyDescent="0.2">
      <c r="A61" s="2">
        <v>38898</v>
      </c>
      <c r="B61" s="9">
        <v>4.4462820000000001</v>
      </c>
      <c r="C61" s="9">
        <v>5.1015050000000004</v>
      </c>
      <c r="D61" s="9">
        <v>2.3452125000000001</v>
      </c>
      <c r="E61" s="9">
        <v>4.1817289999999998</v>
      </c>
      <c r="F61" s="9">
        <v>1.6003273158481437</v>
      </c>
      <c r="G61" s="9">
        <v>1.583807433525358</v>
      </c>
      <c r="H61" s="9">
        <v>1.215255</v>
      </c>
      <c r="I61" s="9">
        <v>-5.9607849999999996</v>
      </c>
      <c r="J61" s="38">
        <f t="shared" si="0"/>
        <v>-6.5522300000000035E-3</v>
      </c>
      <c r="K61" s="42">
        <f t="shared" si="1"/>
        <v>-1.8365164999999996E-2</v>
      </c>
      <c r="L61" s="40">
        <f t="shared" si="2"/>
        <v>7.1760400000000002E-2</v>
      </c>
    </row>
    <row r="62" spans="1:12" x14ac:dyDescent="0.2">
      <c r="A62" s="2">
        <v>38929</v>
      </c>
      <c r="B62" s="9">
        <v>4.4449699999999996</v>
      </c>
      <c r="C62" s="9">
        <v>5.0938907000000002</v>
      </c>
      <c r="D62" s="9">
        <v>2.2471839999999998</v>
      </c>
      <c r="E62" s="9">
        <v>4.1046620000000003</v>
      </c>
      <c r="F62" s="9">
        <v>1.6003273158481437</v>
      </c>
      <c r="G62" s="9">
        <v>1.583807433525358</v>
      </c>
      <c r="H62" s="9">
        <v>1.3114178999999999</v>
      </c>
      <c r="I62" s="9">
        <v>-6.2996119999999998</v>
      </c>
      <c r="J62" s="38">
        <f t="shared" si="0"/>
        <v>-6.4892070000000055E-3</v>
      </c>
      <c r="K62" s="42">
        <f t="shared" si="1"/>
        <v>-1.8574780000000003E-2</v>
      </c>
      <c r="L62" s="40">
        <f t="shared" si="2"/>
        <v>7.6110299000000006E-2</v>
      </c>
    </row>
    <row r="63" spans="1:12" x14ac:dyDescent="0.2">
      <c r="A63" s="2">
        <v>38960</v>
      </c>
      <c r="B63" s="9">
        <v>4.2642045</v>
      </c>
      <c r="C63" s="9">
        <v>4.8825006000000002</v>
      </c>
      <c r="D63" s="9">
        <v>1.9571274999999999</v>
      </c>
      <c r="E63" s="9">
        <v>3.9265637</v>
      </c>
      <c r="F63" s="9">
        <v>1.6003273158481437</v>
      </c>
      <c r="G63" s="9">
        <v>1.583807433525358</v>
      </c>
      <c r="H63" s="9">
        <v>1.3114178999999999</v>
      </c>
      <c r="I63" s="9">
        <v>-6.2996119999999998</v>
      </c>
      <c r="J63" s="38">
        <f t="shared" si="0"/>
        <v>-6.1829610000000024E-3</v>
      </c>
      <c r="K63" s="42">
        <f t="shared" si="1"/>
        <v>-1.9694362E-2</v>
      </c>
      <c r="L63" s="40">
        <f t="shared" si="2"/>
        <v>7.6110299000000006E-2</v>
      </c>
    </row>
    <row r="64" spans="1:12" x14ac:dyDescent="0.2">
      <c r="A64" s="2">
        <v>38990</v>
      </c>
      <c r="B64" s="9">
        <v>4.0720944000000001</v>
      </c>
      <c r="C64" s="9">
        <v>4.7147610000000002</v>
      </c>
      <c r="D64" s="9">
        <v>0.646347</v>
      </c>
      <c r="E64" s="9">
        <v>2.0120765999999999</v>
      </c>
      <c r="F64" s="9">
        <v>1.4660197445393208</v>
      </c>
      <c r="G64" s="9">
        <v>1.4925980976030644</v>
      </c>
      <c r="H64" s="9">
        <v>1.3114178000000001</v>
      </c>
      <c r="I64" s="9">
        <v>-6.2996119999999998</v>
      </c>
      <c r="J64" s="38">
        <f t="shared" si="0"/>
        <v>-6.426666000000001E-3</v>
      </c>
      <c r="K64" s="42">
        <f t="shared" si="1"/>
        <v>-1.3657295999999999E-2</v>
      </c>
      <c r="L64" s="40">
        <f t="shared" si="2"/>
        <v>7.6110297999999993E-2</v>
      </c>
    </row>
    <row r="65" spans="1:12" x14ac:dyDescent="0.2">
      <c r="A65" s="2">
        <v>39021</v>
      </c>
      <c r="B65" s="9">
        <v>4.1090135999999999</v>
      </c>
      <c r="C65" s="9">
        <v>4.7181170000000003</v>
      </c>
      <c r="D65" s="9">
        <v>0.92506659999999996</v>
      </c>
      <c r="E65" s="9">
        <v>1.4063215</v>
      </c>
      <c r="F65" s="9">
        <v>1.4660197445393208</v>
      </c>
      <c r="G65" s="9">
        <v>1.4925980976030644</v>
      </c>
      <c r="H65" s="9">
        <v>1.4088004000000001</v>
      </c>
      <c r="I65" s="9">
        <v>-5.5200024000000001</v>
      </c>
      <c r="J65" s="38">
        <f t="shared" si="0"/>
        <v>-6.0910340000000038E-3</v>
      </c>
      <c r="K65" s="42">
        <f t="shared" si="1"/>
        <v>-4.8125490000000002E-3</v>
      </c>
      <c r="L65" s="40">
        <f t="shared" si="2"/>
        <v>6.9288028000000002E-2</v>
      </c>
    </row>
    <row r="66" spans="1:12" x14ac:dyDescent="0.2">
      <c r="A66" s="2">
        <v>39051</v>
      </c>
      <c r="B66" s="9">
        <v>4.0039477000000003</v>
      </c>
      <c r="C66" s="9">
        <v>4.5932950000000003</v>
      </c>
      <c r="D66" s="9">
        <v>1.48285</v>
      </c>
      <c r="E66" s="9">
        <v>1.9686948</v>
      </c>
      <c r="F66" s="9">
        <v>1.4660197445393208</v>
      </c>
      <c r="G66" s="9">
        <v>1.4925980976030644</v>
      </c>
      <c r="H66" s="9">
        <v>1.4088004000000001</v>
      </c>
      <c r="I66" s="9">
        <v>-5.5200024000000001</v>
      </c>
      <c r="J66" s="38">
        <f t="shared" si="0"/>
        <v>-5.8934729999999998E-3</v>
      </c>
      <c r="K66" s="42">
        <f t="shared" si="1"/>
        <v>-4.8584479999999996E-3</v>
      </c>
      <c r="L66" s="40">
        <f t="shared" si="2"/>
        <v>6.9288028000000002E-2</v>
      </c>
    </row>
    <row r="67" spans="1:12" x14ac:dyDescent="0.2">
      <c r="A67" s="2">
        <v>39082</v>
      </c>
      <c r="B67" s="9">
        <v>3.9696598000000001</v>
      </c>
      <c r="C67" s="9">
        <v>4.5565899999999999</v>
      </c>
      <c r="D67" s="9">
        <v>1.7592654000000001</v>
      </c>
      <c r="E67" s="9">
        <v>2.5239769999999999</v>
      </c>
      <c r="F67" s="9">
        <v>1.3660235985767866</v>
      </c>
      <c r="G67" s="9">
        <v>1.5375060409130969</v>
      </c>
      <c r="H67" s="9">
        <v>1.4088001999999999</v>
      </c>
      <c r="I67" s="9">
        <v>-5.5200024000000001</v>
      </c>
      <c r="J67" s="38">
        <f t="shared" si="0"/>
        <v>-5.8693019999999981E-3</v>
      </c>
      <c r="K67" s="42">
        <f t="shared" si="1"/>
        <v>-7.6471159999999981E-3</v>
      </c>
      <c r="L67" s="40">
        <f t="shared" si="2"/>
        <v>6.9288026000000003E-2</v>
      </c>
    </row>
    <row r="68" spans="1:12" x14ac:dyDescent="0.2">
      <c r="A68" s="2">
        <v>39113</v>
      </c>
      <c r="B68" s="9">
        <v>4.1254150000000003</v>
      </c>
      <c r="C68" s="9">
        <v>4.7584952999999999</v>
      </c>
      <c r="D68" s="9">
        <v>1.1937485000000001</v>
      </c>
      <c r="E68" s="9">
        <v>2.0757686999999998</v>
      </c>
      <c r="F68" s="9">
        <v>1.3660235985767866</v>
      </c>
      <c r="G68" s="9">
        <v>1.5375060409130969</v>
      </c>
      <c r="H68" s="9">
        <v>1.0263199000000001</v>
      </c>
      <c r="I68" s="9">
        <v>-5.6364635999999999</v>
      </c>
      <c r="J68" s="38">
        <f t="shared" ref="J68:J131" si="3">(B68-C68)/100</f>
        <v>-6.330802999999996E-3</v>
      </c>
      <c r="K68" s="42">
        <f t="shared" ref="K68:K131" si="4">(D68-E68)/100</f>
        <v>-8.8202019999999975E-3</v>
      </c>
      <c r="L68" s="40">
        <f t="shared" ref="L68:L131" si="5">(H68-I68)/100</f>
        <v>6.6627834999999996E-2</v>
      </c>
    </row>
    <row r="69" spans="1:12" x14ac:dyDescent="0.2">
      <c r="A69" s="2">
        <v>39141</v>
      </c>
      <c r="B69" s="9">
        <v>4.1230482999999998</v>
      </c>
      <c r="C69" s="9">
        <v>4.724342</v>
      </c>
      <c r="D69" s="9">
        <v>1.9354742</v>
      </c>
      <c r="E69" s="9">
        <v>2.4202653999999999</v>
      </c>
      <c r="F69" s="9">
        <v>1.3660235985767866</v>
      </c>
      <c r="G69" s="9">
        <v>1.5375060409130969</v>
      </c>
      <c r="H69" s="9">
        <v>1.0263199000000001</v>
      </c>
      <c r="I69" s="9">
        <v>-5.6364635999999999</v>
      </c>
      <c r="J69" s="38">
        <f t="shared" si="3"/>
        <v>-6.0129370000000029E-3</v>
      </c>
      <c r="K69" s="42">
        <f t="shared" si="4"/>
        <v>-4.8479119999999985E-3</v>
      </c>
      <c r="L69" s="40">
        <f t="shared" si="5"/>
        <v>6.6627834999999996E-2</v>
      </c>
    </row>
    <row r="70" spans="1:12" x14ac:dyDescent="0.2">
      <c r="A70" s="2">
        <v>39172</v>
      </c>
      <c r="B70" s="9">
        <v>4.0489182000000001</v>
      </c>
      <c r="C70" s="9">
        <v>4.5604506000000002</v>
      </c>
      <c r="D70" s="9">
        <v>2.394107</v>
      </c>
      <c r="E70" s="9">
        <v>2.7981946</v>
      </c>
      <c r="F70" s="9">
        <v>1.3340275523711023</v>
      </c>
      <c r="G70" s="9">
        <v>1.3709542785744866</v>
      </c>
      <c r="H70" s="9">
        <v>1.0263199000000001</v>
      </c>
      <c r="I70" s="9">
        <v>-5.6364635999999999</v>
      </c>
      <c r="J70" s="38">
        <f t="shared" si="3"/>
        <v>-5.115324000000001E-3</v>
      </c>
      <c r="K70" s="42">
        <f t="shared" si="4"/>
        <v>-4.0408759999999997E-3</v>
      </c>
      <c r="L70" s="40">
        <f t="shared" si="5"/>
        <v>6.6627834999999996E-2</v>
      </c>
    </row>
    <row r="71" spans="1:12" x14ac:dyDescent="0.2">
      <c r="A71" s="2">
        <v>39202</v>
      </c>
      <c r="B71" s="9">
        <v>4.1742105</v>
      </c>
      <c r="C71" s="9">
        <v>4.6891550000000004</v>
      </c>
      <c r="D71" s="9">
        <v>2.1998250000000001</v>
      </c>
      <c r="E71" s="9">
        <v>2.5929283999999999</v>
      </c>
      <c r="F71" s="9">
        <v>1.3340275523711023</v>
      </c>
      <c r="G71" s="9">
        <v>1.3709542785744866</v>
      </c>
      <c r="H71" s="9">
        <v>1.4984029999999999</v>
      </c>
      <c r="I71" s="9">
        <v>-5.3696127000000002</v>
      </c>
      <c r="J71" s="38">
        <f t="shared" si="3"/>
        <v>-5.1494450000000034E-3</v>
      </c>
      <c r="K71" s="42">
        <f t="shared" si="4"/>
        <v>-3.9310339999999973E-3</v>
      </c>
      <c r="L71" s="40">
        <f t="shared" si="5"/>
        <v>6.8680157000000006E-2</v>
      </c>
    </row>
    <row r="72" spans="1:12" x14ac:dyDescent="0.2">
      <c r="A72" s="2">
        <v>39233</v>
      </c>
      <c r="B72" s="9">
        <v>4.2895640000000004</v>
      </c>
      <c r="C72" s="9">
        <v>4.7408093999999998</v>
      </c>
      <c r="D72" s="9">
        <v>2.1062319999999999</v>
      </c>
      <c r="E72" s="9">
        <v>2.7098795999999998</v>
      </c>
      <c r="F72" s="9">
        <v>1.3340275523711023</v>
      </c>
      <c r="G72" s="9">
        <v>1.3709542785744866</v>
      </c>
      <c r="H72" s="9">
        <v>1.4984029999999999</v>
      </c>
      <c r="I72" s="9">
        <v>-5.3696127000000002</v>
      </c>
      <c r="J72" s="38">
        <f t="shared" si="3"/>
        <v>-4.5124539999999947E-3</v>
      </c>
      <c r="K72" s="42">
        <f t="shared" si="4"/>
        <v>-6.0364759999999998E-3</v>
      </c>
      <c r="L72" s="40">
        <f t="shared" si="5"/>
        <v>6.8680157000000006E-2</v>
      </c>
    </row>
    <row r="73" spans="1:12" x14ac:dyDescent="0.2">
      <c r="A73" s="2">
        <v>39263</v>
      </c>
      <c r="B73" s="9">
        <v>4.6209707</v>
      </c>
      <c r="C73" s="9">
        <v>5.1043042999999999</v>
      </c>
      <c r="D73" s="9">
        <v>2.0165150000000001</v>
      </c>
      <c r="E73" s="9">
        <v>2.6927637999999998</v>
      </c>
      <c r="F73" s="9">
        <v>1.4890941899230419</v>
      </c>
      <c r="G73" s="9">
        <v>1.4316559296847249</v>
      </c>
      <c r="H73" s="9">
        <v>1.4984029999999999</v>
      </c>
      <c r="I73" s="9">
        <v>-5.3696127000000002</v>
      </c>
      <c r="J73" s="38">
        <f t="shared" si="3"/>
        <v>-4.8333359999999988E-3</v>
      </c>
      <c r="K73" s="42">
        <f t="shared" si="4"/>
        <v>-6.7624879999999979E-3</v>
      </c>
      <c r="L73" s="40">
        <f t="shared" si="5"/>
        <v>6.8680157000000006E-2</v>
      </c>
    </row>
    <row r="74" spans="1:12" x14ac:dyDescent="0.2">
      <c r="A74" s="2">
        <v>39294</v>
      </c>
      <c r="B74" s="9">
        <v>4.5903663999999997</v>
      </c>
      <c r="C74" s="9">
        <v>4.9933332999999998</v>
      </c>
      <c r="D74" s="9">
        <v>2.0146609999999998</v>
      </c>
      <c r="E74" s="9">
        <v>2.3178975999999998</v>
      </c>
      <c r="F74" s="9">
        <v>1.4890941899230419</v>
      </c>
      <c r="G74" s="9">
        <v>1.4316559296847249</v>
      </c>
      <c r="H74" s="9">
        <v>0.30892754</v>
      </c>
      <c r="I74" s="9">
        <v>-4.8270964999999997</v>
      </c>
      <c r="J74" s="38">
        <f t="shared" si="3"/>
        <v>-4.0296690000000005E-3</v>
      </c>
      <c r="K74" s="42">
        <f t="shared" si="4"/>
        <v>-3.0323659999999999E-3</v>
      </c>
      <c r="L74" s="40">
        <f t="shared" si="5"/>
        <v>5.13602404E-2</v>
      </c>
    </row>
    <row r="75" spans="1:12" x14ac:dyDescent="0.2">
      <c r="A75" s="2">
        <v>39325</v>
      </c>
      <c r="B75" s="9">
        <v>4.430714</v>
      </c>
      <c r="C75" s="9">
        <v>4.6772479999999996</v>
      </c>
      <c r="D75" s="9">
        <v>1.7367594</v>
      </c>
      <c r="E75" s="9">
        <v>1.8974565000000001</v>
      </c>
      <c r="F75" s="9">
        <v>1.4890941899230419</v>
      </c>
      <c r="G75" s="9">
        <v>1.4316559296847249</v>
      </c>
      <c r="H75" s="9">
        <v>0.30892754</v>
      </c>
      <c r="I75" s="9">
        <v>-4.8270964999999997</v>
      </c>
      <c r="J75" s="38">
        <f t="shared" si="3"/>
        <v>-2.465339999999996E-3</v>
      </c>
      <c r="K75" s="42">
        <f t="shared" si="4"/>
        <v>-1.6069710000000015E-3</v>
      </c>
      <c r="L75" s="40">
        <f t="shared" si="5"/>
        <v>5.13602404E-2</v>
      </c>
    </row>
    <row r="76" spans="1:12" x14ac:dyDescent="0.2">
      <c r="A76" s="2">
        <v>39355</v>
      </c>
      <c r="B76" s="9">
        <v>4.3593520000000003</v>
      </c>
      <c r="C76" s="9">
        <v>4.5155370000000001</v>
      </c>
      <c r="D76" s="9">
        <v>2.4770606000000002</v>
      </c>
      <c r="E76" s="9">
        <v>2.8338325000000002</v>
      </c>
      <c r="F76" s="9">
        <v>1.5032460075932443</v>
      </c>
      <c r="G76" s="9">
        <v>1.4989672891687265</v>
      </c>
      <c r="H76" s="9">
        <v>0.30892754</v>
      </c>
      <c r="I76" s="9">
        <v>-4.8270964999999997</v>
      </c>
      <c r="J76" s="38">
        <f t="shared" si="3"/>
        <v>-1.5618499999999979E-3</v>
      </c>
      <c r="K76" s="42">
        <f t="shared" si="4"/>
        <v>-3.5677190000000004E-3</v>
      </c>
      <c r="L76" s="40">
        <f t="shared" si="5"/>
        <v>5.13602404E-2</v>
      </c>
    </row>
    <row r="77" spans="1:12" x14ac:dyDescent="0.2">
      <c r="A77" s="2">
        <v>39386</v>
      </c>
      <c r="B77" s="9">
        <v>4.3641515000000002</v>
      </c>
      <c r="C77" s="9">
        <v>4.5166040000000001</v>
      </c>
      <c r="D77" s="9">
        <v>2.5664601</v>
      </c>
      <c r="E77" s="9">
        <v>3.6107024999999999</v>
      </c>
      <c r="F77" s="9">
        <v>1.5032460075932443</v>
      </c>
      <c r="G77" s="9">
        <v>1.4989672891687265</v>
      </c>
      <c r="H77" s="9">
        <v>0.47142174999999997</v>
      </c>
      <c r="I77" s="9">
        <v>-4.5434823</v>
      </c>
      <c r="J77" s="38">
        <f t="shared" si="3"/>
        <v>-1.5245249999999988E-3</v>
      </c>
      <c r="K77" s="42">
        <f t="shared" si="4"/>
        <v>-1.0442423999999999E-2</v>
      </c>
      <c r="L77" s="40">
        <f t="shared" si="5"/>
        <v>5.0149040499999999E-2</v>
      </c>
    </row>
    <row r="78" spans="1:12" x14ac:dyDescent="0.2">
      <c r="A78" s="2">
        <v>39416</v>
      </c>
      <c r="B78" s="9">
        <v>4.1377325000000003</v>
      </c>
      <c r="C78" s="9">
        <v>4.1614003000000004</v>
      </c>
      <c r="D78" s="9">
        <v>2.4657570999999998</v>
      </c>
      <c r="E78" s="9">
        <v>4.3732680000000004</v>
      </c>
      <c r="F78" s="9">
        <v>1.5032460075932443</v>
      </c>
      <c r="G78" s="9">
        <v>1.4989672891687265</v>
      </c>
      <c r="H78" s="9">
        <v>0.47142174999999997</v>
      </c>
      <c r="I78" s="9">
        <v>-4.5434823</v>
      </c>
      <c r="J78" s="38">
        <f t="shared" si="3"/>
        <v>-2.3667800000000129E-4</v>
      </c>
      <c r="K78" s="42">
        <f t="shared" si="4"/>
        <v>-1.9075109000000007E-2</v>
      </c>
      <c r="L78" s="40">
        <f t="shared" si="5"/>
        <v>5.0149040499999999E-2</v>
      </c>
    </row>
    <row r="79" spans="1:12" x14ac:dyDescent="0.2">
      <c r="A79" s="2">
        <v>39447</v>
      </c>
      <c r="B79" s="9">
        <v>4.021274</v>
      </c>
      <c r="C79" s="9">
        <v>4.0899150000000004</v>
      </c>
      <c r="D79" s="9">
        <v>2.4567752</v>
      </c>
      <c r="E79" s="9">
        <v>4.1088132999999996</v>
      </c>
      <c r="F79" s="9">
        <v>1.4619874571856208</v>
      </c>
      <c r="G79" s="9">
        <v>1.4633123487540436</v>
      </c>
      <c r="H79" s="9">
        <v>0.47142174999999997</v>
      </c>
      <c r="I79" s="9">
        <v>-4.5434823</v>
      </c>
      <c r="J79" s="38">
        <f t="shared" si="3"/>
        <v>-6.8641000000000394E-4</v>
      </c>
      <c r="K79" s="42">
        <f t="shared" si="4"/>
        <v>-1.6520380999999994E-2</v>
      </c>
      <c r="L79" s="40">
        <f t="shared" si="5"/>
        <v>5.0149040499999999E-2</v>
      </c>
    </row>
    <row r="80" spans="1:12" x14ac:dyDescent="0.2">
      <c r="A80" s="2">
        <v>39478</v>
      </c>
      <c r="B80" s="9">
        <v>3.8504993999999999</v>
      </c>
      <c r="C80" s="9">
        <v>3.7362247000000002</v>
      </c>
      <c r="D80" s="9">
        <v>1.9963717000000001</v>
      </c>
      <c r="E80" s="9">
        <v>4.2946897000000002</v>
      </c>
      <c r="F80" s="9">
        <v>1.4619874571856208</v>
      </c>
      <c r="G80" s="9">
        <v>1.4633123487540436</v>
      </c>
      <c r="H80" s="9">
        <v>0.90173066000000002</v>
      </c>
      <c r="I80" s="9">
        <v>-4.9579034000000002</v>
      </c>
      <c r="J80" s="38">
        <f t="shared" si="3"/>
        <v>1.1427469999999973E-3</v>
      </c>
      <c r="K80" s="42">
        <f t="shared" si="4"/>
        <v>-2.2983180000000002E-2</v>
      </c>
      <c r="L80" s="40">
        <f t="shared" si="5"/>
        <v>5.8596340600000005E-2</v>
      </c>
    </row>
    <row r="81" spans="1:12" x14ac:dyDescent="0.2">
      <c r="A81" s="2">
        <v>39507</v>
      </c>
      <c r="B81" s="9">
        <v>3.8353495999999998</v>
      </c>
      <c r="C81" s="9">
        <v>3.7352500000000002</v>
      </c>
      <c r="D81" s="9">
        <v>1.8083277</v>
      </c>
      <c r="E81" s="9">
        <v>4.1429562999999998</v>
      </c>
      <c r="F81" s="9">
        <v>1.4619874571856208</v>
      </c>
      <c r="G81" s="9">
        <v>1.4633123487540436</v>
      </c>
      <c r="H81" s="9">
        <v>0.9017307</v>
      </c>
      <c r="I81" s="9">
        <v>-4.9579034000000002</v>
      </c>
      <c r="J81" s="38">
        <f t="shared" si="3"/>
        <v>1.0009959999999962E-3</v>
      </c>
      <c r="K81" s="42">
        <f t="shared" si="4"/>
        <v>-2.3346285999999997E-2</v>
      </c>
      <c r="L81" s="40">
        <f t="shared" si="5"/>
        <v>5.8596341000000003E-2</v>
      </c>
    </row>
    <row r="82" spans="1:12" x14ac:dyDescent="0.2">
      <c r="A82" s="2">
        <v>39538</v>
      </c>
      <c r="B82" s="9">
        <v>3.5105947999999998</v>
      </c>
      <c r="C82" s="9">
        <v>3.5008349999999999</v>
      </c>
      <c r="D82" s="9">
        <v>1.4388593000000001</v>
      </c>
      <c r="E82" s="9">
        <v>3.9749119999999998</v>
      </c>
      <c r="F82" s="9">
        <v>1.3667979991444308</v>
      </c>
      <c r="G82" s="9">
        <v>1.3374629354738894</v>
      </c>
      <c r="H82" s="9">
        <v>0.90173066000000002</v>
      </c>
      <c r="I82" s="9">
        <v>-4.9579034000000002</v>
      </c>
      <c r="J82" s="38">
        <f t="shared" si="3"/>
        <v>9.7597999999998736E-5</v>
      </c>
      <c r="K82" s="42">
        <f t="shared" si="4"/>
        <v>-2.5360527000000001E-2</v>
      </c>
      <c r="L82" s="40">
        <f t="shared" si="5"/>
        <v>5.8596340600000005E-2</v>
      </c>
    </row>
    <row r="83" spans="1:12" x14ac:dyDescent="0.2">
      <c r="A83" s="2">
        <v>39568</v>
      </c>
      <c r="B83" s="9">
        <v>3.6327093000000001</v>
      </c>
      <c r="C83" s="9">
        <v>3.6520049999999999</v>
      </c>
      <c r="D83" s="9">
        <v>1.6143521000000001</v>
      </c>
      <c r="E83" s="9">
        <v>3.903756</v>
      </c>
      <c r="F83" s="9">
        <v>1.3667979991444308</v>
      </c>
      <c r="G83" s="9">
        <v>1.3374629354738894</v>
      </c>
      <c r="H83" s="9">
        <v>1.3282080999999999</v>
      </c>
      <c r="I83" s="9">
        <v>-4.8384130000000001</v>
      </c>
      <c r="J83" s="38">
        <f t="shared" si="3"/>
        <v>-1.9295699999999805E-4</v>
      </c>
      <c r="K83" s="42">
        <f t="shared" si="4"/>
        <v>-2.2894038999999998E-2</v>
      </c>
      <c r="L83" s="40">
        <f t="shared" si="5"/>
        <v>6.1666211000000005E-2</v>
      </c>
    </row>
    <row r="84" spans="1:12" x14ac:dyDescent="0.2">
      <c r="A84" s="2">
        <v>39599</v>
      </c>
      <c r="B84" s="9">
        <v>3.6214046</v>
      </c>
      <c r="C84" s="9">
        <v>3.8742719000000001</v>
      </c>
      <c r="D84" s="9">
        <v>2.3318387999999999</v>
      </c>
      <c r="E84" s="9">
        <v>4.0884179999999999</v>
      </c>
      <c r="F84" s="9">
        <v>1.3667979991444308</v>
      </c>
      <c r="G84" s="9">
        <v>1.3374629354738894</v>
      </c>
      <c r="H84" s="9">
        <v>1.3282080000000001</v>
      </c>
      <c r="I84" s="9">
        <v>-4.8384130000000001</v>
      </c>
      <c r="J84" s="38">
        <f t="shared" si="3"/>
        <v>-2.5286730000000012E-3</v>
      </c>
      <c r="K84" s="42">
        <f t="shared" si="4"/>
        <v>-1.7565792E-2</v>
      </c>
      <c r="L84" s="40">
        <f t="shared" si="5"/>
        <v>6.1666209999999999E-2</v>
      </c>
    </row>
    <row r="85" spans="1:12" x14ac:dyDescent="0.2">
      <c r="A85" s="2">
        <v>39629</v>
      </c>
      <c r="B85" s="9">
        <v>3.7595382000000002</v>
      </c>
      <c r="C85" s="9">
        <v>4.0808999999999997</v>
      </c>
      <c r="D85" s="9">
        <v>3.2344909999999998</v>
      </c>
      <c r="E85" s="9">
        <v>4.9359609999999998</v>
      </c>
      <c r="F85" s="9">
        <v>1.2490132863886085</v>
      </c>
      <c r="G85" s="9">
        <v>1.3343882602656398</v>
      </c>
      <c r="H85" s="9">
        <v>1.3282080999999999</v>
      </c>
      <c r="I85" s="9">
        <v>-4.8384130000000001</v>
      </c>
      <c r="J85" s="38">
        <f t="shared" si="3"/>
        <v>-3.2136179999999958E-3</v>
      </c>
      <c r="K85" s="42">
        <f t="shared" si="4"/>
        <v>-1.7014700000000001E-2</v>
      </c>
      <c r="L85" s="40">
        <f t="shared" si="5"/>
        <v>6.1666211000000005E-2</v>
      </c>
    </row>
    <row r="86" spans="1:12" x14ac:dyDescent="0.2">
      <c r="A86" s="2">
        <v>39660</v>
      </c>
      <c r="B86" s="9">
        <v>3.7636595000000002</v>
      </c>
      <c r="C86" s="9">
        <v>3.9824454999999999</v>
      </c>
      <c r="D86" s="9">
        <v>3.5906532000000002</v>
      </c>
      <c r="E86" s="9">
        <v>5.4975176000000001</v>
      </c>
      <c r="F86" s="9">
        <v>1.2490132863886085</v>
      </c>
      <c r="G86" s="9">
        <v>1.3343882602656398</v>
      </c>
      <c r="H86" s="9">
        <v>0.96169274999999999</v>
      </c>
      <c r="I86" s="9">
        <v>-4.7840530000000001</v>
      </c>
      <c r="J86" s="38">
        <f t="shared" si="3"/>
        <v>-2.1878599999999972E-3</v>
      </c>
      <c r="K86" s="42">
        <f t="shared" si="4"/>
        <v>-1.9068643999999999E-2</v>
      </c>
      <c r="L86" s="40">
        <f t="shared" si="5"/>
        <v>5.7457457500000003E-2</v>
      </c>
    </row>
    <row r="87" spans="1:12" x14ac:dyDescent="0.2">
      <c r="A87" s="2">
        <v>39691</v>
      </c>
      <c r="B87" s="9">
        <v>3.5957045999999999</v>
      </c>
      <c r="C87" s="9">
        <v>3.8788570999999998</v>
      </c>
      <c r="D87" s="9">
        <v>3.6837225</v>
      </c>
      <c r="E87" s="9">
        <v>5.3080119999999997</v>
      </c>
      <c r="F87" s="9">
        <v>1.2490132863886085</v>
      </c>
      <c r="G87" s="9">
        <v>1.3343882602656398</v>
      </c>
      <c r="H87" s="9">
        <v>0.96169280000000001</v>
      </c>
      <c r="I87" s="9">
        <v>-4.7840530000000001</v>
      </c>
      <c r="J87" s="38">
        <f t="shared" si="3"/>
        <v>-2.8315249999999992E-3</v>
      </c>
      <c r="K87" s="42">
        <f t="shared" si="4"/>
        <v>-1.6242894999999997E-2</v>
      </c>
      <c r="L87" s="40">
        <f t="shared" si="5"/>
        <v>5.7457457999999996E-2</v>
      </c>
    </row>
    <row r="88" spans="1:12" x14ac:dyDescent="0.2">
      <c r="A88" s="2">
        <v>39721</v>
      </c>
      <c r="B88" s="9">
        <v>3.5456523999999998</v>
      </c>
      <c r="C88" s="9">
        <v>3.6760668999999999</v>
      </c>
      <c r="D88" s="9">
        <v>3.4019667999999998</v>
      </c>
      <c r="E88" s="9">
        <v>4.9533104999999997</v>
      </c>
      <c r="F88" s="9">
        <v>1.3385147276714047</v>
      </c>
      <c r="G88" s="9">
        <v>1.0817820088993504</v>
      </c>
      <c r="H88" s="9">
        <v>0.96169280000000001</v>
      </c>
      <c r="I88" s="9">
        <v>-4.7840530000000001</v>
      </c>
      <c r="J88" s="38">
        <f t="shared" si="3"/>
        <v>-1.3041450000000009E-3</v>
      </c>
      <c r="K88" s="42">
        <f t="shared" si="4"/>
        <v>-1.5513436999999998E-2</v>
      </c>
      <c r="L88" s="40">
        <f t="shared" si="5"/>
        <v>5.7457457999999996E-2</v>
      </c>
    </row>
    <row r="89" spans="1:12" x14ac:dyDescent="0.2">
      <c r="A89" s="2">
        <v>39752</v>
      </c>
      <c r="B89" s="9">
        <v>3.6758997</v>
      </c>
      <c r="C89" s="9">
        <v>3.7810133000000001</v>
      </c>
      <c r="D89" s="9">
        <v>2.5022266000000002</v>
      </c>
      <c r="E89" s="9">
        <v>3.7310607</v>
      </c>
      <c r="F89" s="9">
        <v>1.3385147276714047</v>
      </c>
      <c r="G89" s="9">
        <v>1.0817820088993504</v>
      </c>
      <c r="H89" s="9">
        <v>-2.6919379999999999</v>
      </c>
      <c r="I89" s="9">
        <v>-4.2778416000000004</v>
      </c>
      <c r="J89" s="38">
        <f t="shared" si="3"/>
        <v>-1.0511360000000013E-3</v>
      </c>
      <c r="K89" s="42">
        <f t="shared" si="4"/>
        <v>-1.2288340999999998E-2</v>
      </c>
      <c r="L89" s="40">
        <f t="shared" si="5"/>
        <v>1.5859036000000003E-2</v>
      </c>
    </row>
    <row r="90" spans="1:12" x14ac:dyDescent="0.2">
      <c r="A90" s="2">
        <v>39782</v>
      </c>
      <c r="B90" s="9">
        <v>3.5982577999999998</v>
      </c>
      <c r="C90" s="9">
        <v>3.5305843000000001</v>
      </c>
      <c r="D90" s="9">
        <v>1.8716630000000001</v>
      </c>
      <c r="E90" s="9">
        <v>1.0999175000000001</v>
      </c>
      <c r="F90" s="9">
        <v>1.3385147276714047</v>
      </c>
      <c r="G90" s="9">
        <v>1.0817820088993504</v>
      </c>
      <c r="H90" s="9">
        <v>-2.6919379999999999</v>
      </c>
      <c r="I90" s="9">
        <v>-4.2778416000000004</v>
      </c>
      <c r="J90" s="38">
        <f t="shared" si="3"/>
        <v>6.7673499999999721E-4</v>
      </c>
      <c r="K90" s="42">
        <f t="shared" si="4"/>
        <v>7.7174549999999998E-3</v>
      </c>
      <c r="L90" s="40">
        <f t="shared" si="5"/>
        <v>1.5859036000000003E-2</v>
      </c>
    </row>
    <row r="91" spans="1:12" x14ac:dyDescent="0.2">
      <c r="A91" s="2">
        <v>39813</v>
      </c>
      <c r="B91" s="9">
        <v>2.9349546000000002</v>
      </c>
      <c r="C91" s="9">
        <v>2.385805</v>
      </c>
      <c r="D91" s="9">
        <v>1.1545221999999999</v>
      </c>
      <c r="E91" s="9">
        <v>-2.2243099999999998E-2</v>
      </c>
      <c r="F91" s="9">
        <v>1.029158965947031</v>
      </c>
      <c r="G91" s="9">
        <v>-1.1550900774934043</v>
      </c>
      <c r="H91" s="9">
        <v>-2.6919379999999999</v>
      </c>
      <c r="I91" s="9">
        <v>-4.2778416000000004</v>
      </c>
      <c r="J91" s="38">
        <f t="shared" si="3"/>
        <v>5.491496000000002E-3</v>
      </c>
      <c r="K91" s="42">
        <f t="shared" si="4"/>
        <v>1.1767652999999999E-2</v>
      </c>
      <c r="L91" s="40">
        <f t="shared" si="5"/>
        <v>1.5859036000000003E-2</v>
      </c>
    </row>
    <row r="92" spans="1:12" x14ac:dyDescent="0.2">
      <c r="A92" s="2">
        <v>39844</v>
      </c>
      <c r="B92" s="9">
        <v>2.81643</v>
      </c>
      <c r="C92" s="9">
        <v>2.4708100000000002</v>
      </c>
      <c r="D92" s="9">
        <v>1.1565764999999999</v>
      </c>
      <c r="E92" s="9">
        <v>-0.11357877</v>
      </c>
      <c r="F92" s="9">
        <v>1.029158965947031</v>
      </c>
      <c r="G92" s="9">
        <v>-1.1550900774934043</v>
      </c>
      <c r="H92" s="9">
        <v>-2.7394764</v>
      </c>
      <c r="I92" s="9">
        <v>-2.7552539999999999</v>
      </c>
      <c r="J92" s="38">
        <f t="shared" si="3"/>
        <v>3.4561999999999982E-3</v>
      </c>
      <c r="K92" s="42">
        <f t="shared" si="4"/>
        <v>1.2701552699999999E-2</v>
      </c>
      <c r="L92" s="40">
        <f t="shared" si="5"/>
        <v>1.5777599999999836E-4</v>
      </c>
    </row>
    <row r="93" spans="1:12" x14ac:dyDescent="0.2">
      <c r="A93" s="2">
        <v>39872</v>
      </c>
      <c r="B93" s="9">
        <v>2.9789686</v>
      </c>
      <c r="C93" s="9">
        <v>2.860284</v>
      </c>
      <c r="D93" s="9">
        <v>1.3321487000000001</v>
      </c>
      <c r="E93" s="9">
        <v>8.4684430000000008E-3</v>
      </c>
      <c r="F93" s="9">
        <v>1.029158965947031</v>
      </c>
      <c r="G93" s="9">
        <v>-1.1550900774934043</v>
      </c>
      <c r="H93" s="9">
        <v>-2.7394761999999999</v>
      </c>
      <c r="I93" s="9">
        <v>-2.7552539999999999</v>
      </c>
      <c r="J93" s="38">
        <f t="shared" si="3"/>
        <v>1.1868459999999992E-3</v>
      </c>
      <c r="K93" s="42">
        <f t="shared" si="4"/>
        <v>1.3236802570000001E-2</v>
      </c>
      <c r="L93" s="40">
        <f t="shared" si="5"/>
        <v>1.5777799999999953E-4</v>
      </c>
    </row>
    <row r="94" spans="1:12" x14ac:dyDescent="0.2">
      <c r="A94" s="2">
        <v>39903</v>
      </c>
      <c r="B94" s="9">
        <v>2.8850633999999999</v>
      </c>
      <c r="C94" s="9">
        <v>2.7991182999999999</v>
      </c>
      <c r="D94" s="9">
        <v>1.063812</v>
      </c>
      <c r="E94" s="9">
        <v>-0.44648739999999998</v>
      </c>
      <c r="F94" s="9">
        <v>-1.0748917720500191</v>
      </c>
      <c r="G94" s="9">
        <v>-1.3072995670032199</v>
      </c>
      <c r="H94" s="9">
        <v>-2.7394759999999998</v>
      </c>
      <c r="I94" s="9">
        <v>-2.7552539999999999</v>
      </c>
      <c r="J94" s="38">
        <f t="shared" si="3"/>
        <v>8.5945100000000001E-4</v>
      </c>
      <c r="K94" s="42">
        <f t="shared" si="4"/>
        <v>1.5102994000000002E-2</v>
      </c>
      <c r="L94" s="40">
        <f t="shared" si="5"/>
        <v>1.577800000000007E-4</v>
      </c>
    </row>
    <row r="95" spans="1:12" x14ac:dyDescent="0.2">
      <c r="A95" s="2">
        <v>39933</v>
      </c>
      <c r="B95" s="9">
        <v>2.9530191000000001</v>
      </c>
      <c r="C95" s="9">
        <v>2.8880618</v>
      </c>
      <c r="D95" s="9">
        <v>0.35302951999999999</v>
      </c>
      <c r="E95" s="9">
        <v>-0.5763199</v>
      </c>
      <c r="F95" s="9">
        <v>-1.0748917720500191</v>
      </c>
      <c r="G95" s="9">
        <v>-1.3072995670032199</v>
      </c>
      <c r="H95" s="9">
        <v>-2.826241</v>
      </c>
      <c r="I95" s="9">
        <v>-2.4222950000000001</v>
      </c>
      <c r="J95" s="38">
        <f t="shared" si="3"/>
        <v>6.4957300000000105E-4</v>
      </c>
      <c r="K95" s="42">
        <f t="shared" si="4"/>
        <v>9.2934942000000003E-3</v>
      </c>
      <c r="L95" s="40">
        <f t="shared" si="5"/>
        <v>-4.0394599999999991E-3</v>
      </c>
    </row>
    <row r="96" spans="1:12" x14ac:dyDescent="0.2">
      <c r="A96" s="2">
        <v>39964</v>
      </c>
      <c r="B96" s="9">
        <v>3.1950050000000001</v>
      </c>
      <c r="C96" s="9">
        <v>3.2845496999999999</v>
      </c>
      <c r="D96" s="9">
        <v>8.7638579999999994E-2</v>
      </c>
      <c r="E96" s="9">
        <v>-1.0157655000000001</v>
      </c>
      <c r="F96" s="9">
        <v>-1.0748917720500191</v>
      </c>
      <c r="G96" s="9">
        <v>-1.3072995670032199</v>
      </c>
      <c r="H96" s="9">
        <v>-2.8262407999999999</v>
      </c>
      <c r="I96" s="9">
        <v>-2.4222950000000001</v>
      </c>
      <c r="J96" s="38">
        <f t="shared" si="3"/>
        <v>-8.9544699999999811E-4</v>
      </c>
      <c r="K96" s="42">
        <f t="shared" si="4"/>
        <v>1.10340408E-2</v>
      </c>
      <c r="L96" s="40">
        <f t="shared" si="5"/>
        <v>-4.0394579999999984E-3</v>
      </c>
    </row>
    <row r="97" spans="1:12" x14ac:dyDescent="0.2">
      <c r="A97" s="2">
        <v>39994</v>
      </c>
      <c r="B97" s="9">
        <v>3.4604591999999998</v>
      </c>
      <c r="C97" s="9">
        <v>3.7021362999999998</v>
      </c>
      <c r="D97" s="9">
        <v>-0.17407096999999999</v>
      </c>
      <c r="E97" s="9">
        <v>-1.2291671</v>
      </c>
      <c r="F97" s="9">
        <v>-1.383395231500699</v>
      </c>
      <c r="G97" s="9">
        <v>-1.4388498081299925</v>
      </c>
      <c r="H97" s="9">
        <v>-2.8262407999999999</v>
      </c>
      <c r="I97" s="9">
        <v>-2.4222950000000001</v>
      </c>
      <c r="J97" s="38">
        <f t="shared" si="3"/>
        <v>-2.4167709999999998E-3</v>
      </c>
      <c r="K97" s="42">
        <f t="shared" si="4"/>
        <v>1.05509613E-2</v>
      </c>
      <c r="L97" s="40">
        <f t="shared" si="5"/>
        <v>-4.0394579999999984E-3</v>
      </c>
    </row>
    <row r="98" spans="1:12" x14ac:dyDescent="0.2">
      <c r="A98" s="2">
        <v>40025</v>
      </c>
      <c r="B98" s="9">
        <v>3.4386458000000002</v>
      </c>
      <c r="C98" s="9">
        <v>3.5332859999999999</v>
      </c>
      <c r="D98" s="9">
        <v>-0.95319282999999999</v>
      </c>
      <c r="E98" s="9">
        <v>-1.9587703000000001</v>
      </c>
      <c r="F98" s="9">
        <v>-1.383395231500699</v>
      </c>
      <c r="G98" s="9">
        <v>-1.4388498081299925</v>
      </c>
      <c r="H98" s="9">
        <v>-3.3213344</v>
      </c>
      <c r="I98" s="9">
        <v>-2.5298566999999998</v>
      </c>
      <c r="J98" s="38">
        <f t="shared" si="3"/>
        <v>-9.4640199999999734E-4</v>
      </c>
      <c r="K98" s="42">
        <f t="shared" si="4"/>
        <v>1.0055774699999999E-2</v>
      </c>
      <c r="L98" s="40">
        <f t="shared" si="5"/>
        <v>-7.9147770000000013E-3</v>
      </c>
    </row>
    <row r="99" spans="1:12" x14ac:dyDescent="0.2">
      <c r="A99" s="2">
        <v>40056</v>
      </c>
      <c r="B99" s="9">
        <v>3.4646094000000001</v>
      </c>
      <c r="C99" s="9">
        <v>3.5771142999999999</v>
      </c>
      <c r="D99" s="9">
        <v>-0.77989019999999998</v>
      </c>
      <c r="E99" s="9">
        <v>-1.483833</v>
      </c>
      <c r="F99" s="9">
        <v>-1.383395231500699</v>
      </c>
      <c r="G99" s="9">
        <v>-1.4388498081299925</v>
      </c>
      <c r="H99" s="9">
        <v>-3.3213347999999998</v>
      </c>
      <c r="I99" s="9">
        <v>-2.5298566999999998</v>
      </c>
      <c r="J99" s="38">
        <f t="shared" si="3"/>
        <v>-1.125048999999998E-3</v>
      </c>
      <c r="K99" s="42">
        <f t="shared" si="4"/>
        <v>7.0394279999999995E-3</v>
      </c>
      <c r="L99" s="40">
        <f t="shared" si="5"/>
        <v>-7.9147809999999992E-3</v>
      </c>
    </row>
    <row r="100" spans="1:12" x14ac:dyDescent="0.2">
      <c r="A100" s="2">
        <v>40086</v>
      </c>
      <c r="B100" s="9">
        <v>3.3834616999999998</v>
      </c>
      <c r="C100" s="9">
        <v>3.386571</v>
      </c>
      <c r="D100" s="9">
        <v>-0.77921499999999999</v>
      </c>
      <c r="E100" s="9">
        <v>-1.3779440000000001</v>
      </c>
      <c r="F100" s="9">
        <v>-1.4431152016475928</v>
      </c>
      <c r="G100" s="9">
        <v>-1.2872148311146527</v>
      </c>
      <c r="H100" s="9">
        <v>-3.3213347999999998</v>
      </c>
      <c r="I100" s="9">
        <v>-2.5298566999999998</v>
      </c>
      <c r="J100" s="38">
        <f t="shared" si="3"/>
        <v>-3.1093000000002035E-5</v>
      </c>
      <c r="K100" s="42">
        <f t="shared" si="4"/>
        <v>5.987290000000001E-3</v>
      </c>
      <c r="L100" s="40">
        <f t="shared" si="5"/>
        <v>-7.9147809999999992E-3</v>
      </c>
    </row>
    <row r="101" spans="1:12" x14ac:dyDescent="0.2">
      <c r="A101" s="2">
        <v>40117</v>
      </c>
      <c r="B101" s="9">
        <v>3.4292498</v>
      </c>
      <c r="C101" s="9">
        <v>3.3664412000000001</v>
      </c>
      <c r="D101" s="9">
        <v>8.7194369999999993E-2</v>
      </c>
      <c r="E101" s="9">
        <v>-0.22396442</v>
      </c>
      <c r="F101" s="9">
        <v>-1.4431152016475928</v>
      </c>
      <c r="G101" s="9">
        <v>-1.2872148311146527</v>
      </c>
      <c r="H101" s="9">
        <v>-2.7523870000000001</v>
      </c>
      <c r="I101" s="9">
        <v>-2.7807593000000002</v>
      </c>
      <c r="J101" s="38">
        <f t="shared" si="3"/>
        <v>6.2808599999999884E-4</v>
      </c>
      <c r="K101" s="42">
        <f t="shared" si="4"/>
        <v>3.1115879000000002E-3</v>
      </c>
      <c r="L101" s="40">
        <f t="shared" si="5"/>
        <v>2.8372300000000016E-4</v>
      </c>
    </row>
    <row r="102" spans="1:12" x14ac:dyDescent="0.2">
      <c r="A102" s="2">
        <v>40147</v>
      </c>
      <c r="B102" s="9">
        <v>3.4094099999999998</v>
      </c>
      <c r="C102" s="9">
        <v>3.392995</v>
      </c>
      <c r="D102" s="9">
        <v>0.96236600000000005</v>
      </c>
      <c r="E102" s="9">
        <v>1.9145763</v>
      </c>
      <c r="F102" s="9">
        <v>-1.4431152016475928</v>
      </c>
      <c r="G102" s="9">
        <v>-1.2872148311146527</v>
      </c>
      <c r="H102" s="9">
        <v>-2.7523870000000001</v>
      </c>
      <c r="I102" s="9">
        <v>-2.7807593000000002</v>
      </c>
      <c r="J102" s="38">
        <f t="shared" si="3"/>
        <v>1.6414999999999846E-4</v>
      </c>
      <c r="K102" s="42">
        <f t="shared" si="4"/>
        <v>-9.5221029999999988E-3</v>
      </c>
      <c r="L102" s="40">
        <f t="shared" si="5"/>
        <v>2.8372300000000016E-4</v>
      </c>
    </row>
    <row r="103" spans="1:12" x14ac:dyDescent="0.2">
      <c r="A103" s="2">
        <v>40178</v>
      </c>
      <c r="B103" s="9">
        <v>3.4246180000000002</v>
      </c>
      <c r="C103" s="9">
        <v>3.5796182000000001</v>
      </c>
      <c r="D103" s="9">
        <v>1.3169443999999999</v>
      </c>
      <c r="E103" s="9">
        <v>2.8141280000000002</v>
      </c>
      <c r="F103" s="9">
        <v>-0.90858428177469286</v>
      </c>
      <c r="G103" s="9">
        <v>1.0340209494338177</v>
      </c>
      <c r="H103" s="9">
        <v>-2.7523868</v>
      </c>
      <c r="I103" s="9">
        <v>-2.7807593000000002</v>
      </c>
      <c r="J103" s="38">
        <f t="shared" si="3"/>
        <v>-1.5500019999999991E-3</v>
      </c>
      <c r="K103" s="42">
        <f t="shared" si="4"/>
        <v>-1.4971836000000002E-2</v>
      </c>
      <c r="L103" s="40">
        <f t="shared" si="5"/>
        <v>2.8372500000000133E-4</v>
      </c>
    </row>
    <row r="104" spans="1:12" x14ac:dyDescent="0.2">
      <c r="A104" s="2">
        <v>40209</v>
      </c>
      <c r="B104" s="9">
        <v>3.4906633</v>
      </c>
      <c r="C104" s="9">
        <v>3.7097790000000002</v>
      </c>
      <c r="D104" s="9">
        <v>1.8469712</v>
      </c>
      <c r="E104" s="9">
        <v>2.6211025999999999</v>
      </c>
      <c r="F104" s="9">
        <v>-0.90858428177469286</v>
      </c>
      <c r="G104" s="9">
        <v>1.0340209494338177</v>
      </c>
      <c r="H104" s="9">
        <v>-3.2403263999999998</v>
      </c>
      <c r="I104" s="9">
        <v>-2.7913773000000002</v>
      </c>
      <c r="J104" s="38">
        <f t="shared" si="3"/>
        <v>-2.1911570000000013E-3</v>
      </c>
      <c r="K104" s="42">
        <f t="shared" si="4"/>
        <v>-7.7413139999999991E-3</v>
      </c>
      <c r="L104" s="40">
        <f t="shared" si="5"/>
        <v>-4.4894909999999965E-3</v>
      </c>
    </row>
    <row r="105" spans="1:12" x14ac:dyDescent="0.2">
      <c r="A105" s="2">
        <v>40237</v>
      </c>
      <c r="B105" s="9">
        <v>3.4230787999999999</v>
      </c>
      <c r="C105" s="9">
        <v>3.6777790000000001</v>
      </c>
      <c r="D105" s="9">
        <v>1.5775657999999999</v>
      </c>
      <c r="E105" s="9">
        <v>2.1513414000000002</v>
      </c>
      <c r="F105" s="9">
        <v>-0.90858428177469286</v>
      </c>
      <c r="G105" s="9">
        <v>1.0340209494338177</v>
      </c>
      <c r="H105" s="9">
        <v>-3.240326</v>
      </c>
      <c r="I105" s="9">
        <v>-2.7913773000000002</v>
      </c>
      <c r="J105" s="38">
        <f t="shared" si="3"/>
        <v>-2.5470020000000026E-3</v>
      </c>
      <c r="K105" s="42">
        <f t="shared" si="4"/>
        <v>-5.7377560000000027E-3</v>
      </c>
      <c r="L105" s="40">
        <f t="shared" si="5"/>
        <v>-4.4894869999999986E-3</v>
      </c>
    </row>
    <row r="106" spans="1:12" x14ac:dyDescent="0.2">
      <c r="A106" s="2">
        <v>40268</v>
      </c>
      <c r="B106" s="9">
        <v>3.4917175999999999</v>
      </c>
      <c r="C106" s="9">
        <v>3.7190647000000001</v>
      </c>
      <c r="D106" s="9">
        <v>1.4035188999999999</v>
      </c>
      <c r="E106" s="9">
        <v>2.2861826000000001</v>
      </c>
      <c r="F106" s="9">
        <v>1.3986459016048474</v>
      </c>
      <c r="G106" s="9">
        <v>1.4002138278837237</v>
      </c>
      <c r="H106" s="9">
        <v>-3.240326</v>
      </c>
      <c r="I106" s="9">
        <v>-2.7913773000000002</v>
      </c>
      <c r="J106" s="38">
        <f t="shared" si="3"/>
        <v>-2.2734710000000026E-3</v>
      </c>
      <c r="K106" s="42">
        <f t="shared" si="4"/>
        <v>-8.8266370000000018E-3</v>
      </c>
      <c r="L106" s="40">
        <f t="shared" si="5"/>
        <v>-4.4894869999999986E-3</v>
      </c>
    </row>
    <row r="107" spans="1:12" x14ac:dyDescent="0.2">
      <c r="A107" s="2">
        <v>40298</v>
      </c>
      <c r="B107" s="9">
        <v>3.6736379000000001</v>
      </c>
      <c r="C107" s="9">
        <v>3.8182428000000002</v>
      </c>
      <c r="D107" s="9">
        <v>1.6710773000000001</v>
      </c>
      <c r="E107" s="9">
        <v>2.2067709999999998</v>
      </c>
      <c r="F107" s="9">
        <v>1.3986459016048474</v>
      </c>
      <c r="G107" s="9">
        <v>1.4002138278837237</v>
      </c>
      <c r="H107" s="9">
        <v>-3.5087465999999998</v>
      </c>
      <c r="I107" s="9">
        <v>-2.9835663000000001</v>
      </c>
      <c r="J107" s="38">
        <f t="shared" si="3"/>
        <v>-1.4460490000000005E-3</v>
      </c>
      <c r="K107" s="42">
        <f t="shared" si="4"/>
        <v>-5.3569369999999974E-3</v>
      </c>
      <c r="L107" s="40">
        <f t="shared" si="5"/>
        <v>-5.2518029999999967E-3</v>
      </c>
    </row>
    <row r="108" spans="1:12" x14ac:dyDescent="0.2">
      <c r="A108" s="2">
        <v>40329</v>
      </c>
      <c r="B108" s="9">
        <v>3.4493098</v>
      </c>
      <c r="C108" s="9">
        <v>3.4128951999999999</v>
      </c>
      <c r="D108" s="9">
        <v>1.3134847999999999</v>
      </c>
      <c r="E108" s="9">
        <v>2.0035500000000002</v>
      </c>
      <c r="F108" s="9">
        <v>1.3986459016048474</v>
      </c>
      <c r="G108" s="9">
        <v>1.4002138278837237</v>
      </c>
      <c r="H108" s="9">
        <v>-3.5087461000000002</v>
      </c>
      <c r="I108" s="9">
        <v>-2.9835663000000001</v>
      </c>
      <c r="J108" s="38">
        <f t="shared" si="3"/>
        <v>3.6414600000000074E-4</v>
      </c>
      <c r="K108" s="42">
        <f t="shared" si="4"/>
        <v>-6.9006520000000028E-3</v>
      </c>
      <c r="L108" s="40">
        <f t="shared" si="5"/>
        <v>-5.2517980000000011E-3</v>
      </c>
    </row>
    <row r="109" spans="1:12" x14ac:dyDescent="0.2">
      <c r="A109" s="2">
        <v>40359</v>
      </c>
      <c r="B109" s="9">
        <v>3.300891</v>
      </c>
      <c r="C109" s="9">
        <v>3.1942179999999998</v>
      </c>
      <c r="D109" s="9">
        <v>1.1333987999999999</v>
      </c>
      <c r="E109" s="9">
        <v>1.1215591</v>
      </c>
      <c r="F109" s="9">
        <v>1.6366506599028428</v>
      </c>
      <c r="G109" s="9">
        <v>1.5758885655403692</v>
      </c>
      <c r="H109" s="9">
        <v>-3.5087461000000002</v>
      </c>
      <c r="I109" s="9">
        <v>-2.9835663000000001</v>
      </c>
      <c r="J109" s="38">
        <f t="shared" si="3"/>
        <v>1.0667300000000025E-3</v>
      </c>
      <c r="K109" s="42">
        <f t="shared" si="4"/>
        <v>1.1839699999999898E-4</v>
      </c>
      <c r="L109" s="40">
        <f t="shared" si="5"/>
        <v>-5.2517980000000011E-3</v>
      </c>
    </row>
    <row r="110" spans="1:12" x14ac:dyDescent="0.2">
      <c r="A110" s="2">
        <v>40390</v>
      </c>
      <c r="B110" s="9">
        <v>3.1913429999999998</v>
      </c>
      <c r="C110" s="9">
        <v>2.9850430000000001</v>
      </c>
      <c r="D110" s="9">
        <v>2.0122315999999998</v>
      </c>
      <c r="E110" s="9">
        <v>1.3407800999999999</v>
      </c>
      <c r="F110" s="9">
        <v>1.6366506599028428</v>
      </c>
      <c r="G110" s="9">
        <v>1.5758885655403692</v>
      </c>
      <c r="H110" s="9">
        <v>-4.812138</v>
      </c>
      <c r="I110" s="9">
        <v>-3.0807562000000002</v>
      </c>
      <c r="J110" s="38">
        <f t="shared" si="3"/>
        <v>2.0629999999999971E-3</v>
      </c>
      <c r="K110" s="42">
        <f t="shared" si="4"/>
        <v>6.714514999999999E-3</v>
      </c>
      <c r="L110" s="40">
        <f t="shared" si="5"/>
        <v>-1.7313817999999998E-2</v>
      </c>
    </row>
    <row r="111" spans="1:12" x14ac:dyDescent="0.2">
      <c r="A111" s="2">
        <v>40421</v>
      </c>
      <c r="B111" s="9">
        <v>2.9585363999999998</v>
      </c>
      <c r="C111" s="9">
        <v>2.6867774</v>
      </c>
      <c r="D111" s="9">
        <v>1.7467195</v>
      </c>
      <c r="E111" s="9">
        <v>1.1501718999999999</v>
      </c>
      <c r="F111" s="9">
        <v>1.6366506599028428</v>
      </c>
      <c r="G111" s="9">
        <v>1.5758885655403692</v>
      </c>
      <c r="H111" s="9">
        <v>-4.8121375999999998</v>
      </c>
      <c r="I111" s="9">
        <v>-3.0807562000000002</v>
      </c>
      <c r="J111" s="38">
        <f t="shared" si="3"/>
        <v>2.7175899999999985E-3</v>
      </c>
      <c r="K111" s="42">
        <f t="shared" si="4"/>
        <v>5.9654760000000008E-3</v>
      </c>
      <c r="L111" s="40">
        <f t="shared" si="5"/>
        <v>-1.7313813999999997E-2</v>
      </c>
    </row>
    <row r="112" spans="1:12" x14ac:dyDescent="0.2">
      <c r="A112" s="2">
        <v>40451</v>
      </c>
      <c r="B112" s="9">
        <v>2.8798428</v>
      </c>
      <c r="C112" s="9">
        <v>2.6352093000000001</v>
      </c>
      <c r="D112" s="9">
        <v>1.8324587000000001</v>
      </c>
      <c r="E112" s="9">
        <v>1.1183136</v>
      </c>
      <c r="F112" s="9">
        <v>1.6684082506084446</v>
      </c>
      <c r="G112" s="9">
        <v>1.6316868882601168</v>
      </c>
      <c r="H112" s="9">
        <v>-4.812138</v>
      </c>
      <c r="I112" s="9">
        <v>-3.0807562000000002</v>
      </c>
      <c r="J112" s="38">
        <f t="shared" si="3"/>
        <v>2.4463349999999996E-3</v>
      </c>
      <c r="K112" s="42">
        <f t="shared" si="4"/>
        <v>7.1414510000000009E-3</v>
      </c>
      <c r="L112" s="40">
        <f t="shared" si="5"/>
        <v>-1.7313817999999998E-2</v>
      </c>
    </row>
    <row r="113" spans="1:12" x14ac:dyDescent="0.2">
      <c r="A113" s="2">
        <v>40482</v>
      </c>
      <c r="B113" s="9">
        <v>2.7688190000000001</v>
      </c>
      <c r="C113" s="9">
        <v>2.5077712999999999</v>
      </c>
      <c r="D113" s="9">
        <v>2.2648084000000002</v>
      </c>
      <c r="E113" s="9">
        <v>1.1666966999999999</v>
      </c>
      <c r="F113" s="9">
        <v>1.6684082506084446</v>
      </c>
      <c r="G113" s="9">
        <v>1.6316868882601168</v>
      </c>
      <c r="H113" s="9">
        <v>-2.7024802999999999</v>
      </c>
      <c r="I113" s="9">
        <v>-2.6289866000000002</v>
      </c>
      <c r="J113" s="38">
        <f t="shared" si="3"/>
        <v>2.6104770000000021E-3</v>
      </c>
      <c r="K113" s="42">
        <f t="shared" si="4"/>
        <v>1.0981117000000002E-2</v>
      </c>
      <c r="L113" s="40">
        <f t="shared" si="5"/>
        <v>-7.3493699999999768E-4</v>
      </c>
    </row>
    <row r="114" spans="1:12" x14ac:dyDescent="0.2">
      <c r="A114" s="2">
        <v>40512</v>
      </c>
      <c r="B114" s="9">
        <v>3.0123096</v>
      </c>
      <c r="C114" s="9">
        <v>2.7372049999999999</v>
      </c>
      <c r="D114" s="9">
        <v>1.9930650999999999</v>
      </c>
      <c r="E114" s="9">
        <v>1.0845476000000001</v>
      </c>
      <c r="F114" s="9">
        <v>1.6684082506084446</v>
      </c>
      <c r="G114" s="9">
        <v>1.6316868882601168</v>
      </c>
      <c r="H114" s="9">
        <v>-2.7024802999999999</v>
      </c>
      <c r="I114" s="9">
        <v>-2.6289866000000002</v>
      </c>
      <c r="J114" s="38">
        <f t="shared" si="3"/>
        <v>2.7510460000000013E-3</v>
      </c>
      <c r="K114" s="42">
        <f t="shared" si="4"/>
        <v>9.0851749999999992E-3</v>
      </c>
      <c r="L114" s="40">
        <f t="shared" si="5"/>
        <v>-7.3493699999999768E-4</v>
      </c>
    </row>
    <row r="115" spans="1:12" x14ac:dyDescent="0.2">
      <c r="A115" s="2">
        <v>40543</v>
      </c>
      <c r="B115" s="9">
        <v>3.2073095</v>
      </c>
      <c r="C115" s="9">
        <v>3.2797136</v>
      </c>
      <c r="D115" s="9">
        <v>2.4263430000000001</v>
      </c>
      <c r="E115" s="9">
        <v>1.4377902</v>
      </c>
      <c r="F115" s="9">
        <v>1.6634754085340517</v>
      </c>
      <c r="G115" s="9">
        <v>1.5571935213835082</v>
      </c>
      <c r="H115" s="9">
        <v>-2.7024805999999999</v>
      </c>
      <c r="I115" s="9">
        <v>-2.6289866000000002</v>
      </c>
      <c r="J115" s="38">
        <f t="shared" si="3"/>
        <v>-7.240409999999997E-4</v>
      </c>
      <c r="K115" s="42">
        <f t="shared" si="4"/>
        <v>9.8855280000000011E-3</v>
      </c>
      <c r="L115" s="40">
        <f t="shared" si="5"/>
        <v>-7.349399999999973E-4</v>
      </c>
    </row>
    <row r="116" spans="1:12" x14ac:dyDescent="0.2">
      <c r="A116" s="2">
        <v>40574</v>
      </c>
      <c r="B116" s="9">
        <v>3.2498448</v>
      </c>
      <c r="C116" s="9">
        <v>3.3681000000000001</v>
      </c>
      <c r="D116" s="9">
        <v>2.2452578999999999</v>
      </c>
      <c r="E116" s="9">
        <v>1.7007838</v>
      </c>
      <c r="F116" s="9">
        <v>1.6634754085340517</v>
      </c>
      <c r="G116" s="9">
        <v>1.5571935213835082</v>
      </c>
      <c r="H116" s="9">
        <v>-3.0852407999999998</v>
      </c>
      <c r="I116" s="9">
        <v>-3.1068340000000001</v>
      </c>
      <c r="J116" s="38">
        <f t="shared" si="3"/>
        <v>-1.1825520000000012E-3</v>
      </c>
      <c r="K116" s="42">
        <f t="shared" si="4"/>
        <v>5.4447409999999995E-3</v>
      </c>
      <c r="L116" s="40">
        <f t="shared" si="5"/>
        <v>2.1593200000000312E-4</v>
      </c>
    </row>
    <row r="117" spans="1:12" x14ac:dyDescent="0.2">
      <c r="A117" s="2">
        <v>40602</v>
      </c>
      <c r="B117" s="9">
        <v>3.4184258000000001</v>
      </c>
      <c r="C117" s="9">
        <v>3.5652108</v>
      </c>
      <c r="D117" s="9">
        <v>2.0707442999999999</v>
      </c>
      <c r="E117" s="9">
        <v>2.1248955999999999</v>
      </c>
      <c r="F117" s="9">
        <v>1.6634754085340517</v>
      </c>
      <c r="G117" s="9">
        <v>1.5571935213835082</v>
      </c>
      <c r="H117" s="9">
        <v>-3.0852406000000001</v>
      </c>
      <c r="I117" s="9">
        <v>-3.1068340000000001</v>
      </c>
      <c r="J117" s="38">
        <f t="shared" si="3"/>
        <v>-1.4678499999999995E-3</v>
      </c>
      <c r="K117" s="42">
        <f t="shared" si="4"/>
        <v>-5.4151300000000009E-4</v>
      </c>
      <c r="L117" s="40">
        <f t="shared" si="5"/>
        <v>2.1593399999999985E-4</v>
      </c>
    </row>
    <row r="118" spans="1:12" x14ac:dyDescent="0.2">
      <c r="A118" s="2">
        <v>40633</v>
      </c>
      <c r="B118" s="9">
        <v>3.2705734</v>
      </c>
      <c r="C118" s="9">
        <v>3.4084474999999999</v>
      </c>
      <c r="D118" s="9">
        <v>3.027676</v>
      </c>
      <c r="E118" s="9">
        <v>2.6192381</v>
      </c>
      <c r="F118" s="9">
        <v>1.6060320998201931</v>
      </c>
      <c r="G118" s="9">
        <v>1.4482821829050117</v>
      </c>
      <c r="H118" s="9">
        <v>-3.0852406000000001</v>
      </c>
      <c r="I118" s="9">
        <v>-3.1068340000000001</v>
      </c>
      <c r="J118" s="38">
        <f t="shared" si="3"/>
        <v>-1.3787409999999989E-3</v>
      </c>
      <c r="K118" s="42">
        <f t="shared" si="4"/>
        <v>4.084379E-3</v>
      </c>
      <c r="L118" s="40">
        <f t="shared" si="5"/>
        <v>2.1593399999999985E-4</v>
      </c>
    </row>
    <row r="119" spans="1:12" x14ac:dyDescent="0.2">
      <c r="A119" s="2">
        <v>40663</v>
      </c>
      <c r="B119" s="9">
        <v>3.3353353000000001</v>
      </c>
      <c r="C119" s="9">
        <v>3.4377800000000001</v>
      </c>
      <c r="D119" s="9">
        <v>3.4602040999999999</v>
      </c>
      <c r="E119" s="9">
        <v>3.0772227999999999</v>
      </c>
      <c r="F119" s="9">
        <v>1.6060320998201931</v>
      </c>
      <c r="G119" s="9">
        <v>1.4482821829050117</v>
      </c>
      <c r="H119" s="9">
        <v>-3.1173077</v>
      </c>
      <c r="I119" s="9">
        <v>-3.0707939999999998</v>
      </c>
      <c r="J119" s="38">
        <f t="shared" si="3"/>
        <v>-1.0244469999999995E-3</v>
      </c>
      <c r="K119" s="42">
        <f t="shared" si="4"/>
        <v>3.8298129999999996E-3</v>
      </c>
      <c r="L119" s="40">
        <f t="shared" si="5"/>
        <v>-4.6513700000000213E-4</v>
      </c>
    </row>
    <row r="120" spans="1:12" x14ac:dyDescent="0.2">
      <c r="A120" s="2">
        <v>40694</v>
      </c>
      <c r="B120" s="9">
        <v>3.1677856000000002</v>
      </c>
      <c r="C120" s="9">
        <v>3.16</v>
      </c>
      <c r="D120" s="9">
        <v>3.7165073999999998</v>
      </c>
      <c r="E120" s="9">
        <v>3.4589745999999999</v>
      </c>
      <c r="F120" s="9">
        <v>1.6060320998201931</v>
      </c>
      <c r="G120" s="9">
        <v>1.4482821829050117</v>
      </c>
      <c r="H120" s="9">
        <v>-3.1173074000000001</v>
      </c>
      <c r="I120" s="9">
        <v>-3.0707939999999998</v>
      </c>
      <c r="J120" s="38">
        <f t="shared" si="3"/>
        <v>7.7856000000000591E-5</v>
      </c>
      <c r="K120" s="42">
        <f t="shared" si="4"/>
        <v>2.5753279999999991E-3</v>
      </c>
      <c r="L120" s="40">
        <f t="shared" si="5"/>
        <v>-4.6513400000000262E-4</v>
      </c>
    </row>
    <row r="121" spans="1:12" x14ac:dyDescent="0.2">
      <c r="A121" s="2">
        <v>40724</v>
      </c>
      <c r="B121" s="9">
        <v>2.9902182000000002</v>
      </c>
      <c r="C121" s="9">
        <v>2.9893681999999999</v>
      </c>
      <c r="D121" s="9">
        <v>3.1034457999999998</v>
      </c>
      <c r="E121" s="9">
        <v>3.5023184000000001</v>
      </c>
      <c r="F121" s="9">
        <v>1.559323068124334</v>
      </c>
      <c r="G121" s="9">
        <v>1.3999492838770757</v>
      </c>
      <c r="H121" s="9">
        <v>-3.1173077</v>
      </c>
      <c r="I121" s="9">
        <v>-3.0707939999999998</v>
      </c>
      <c r="J121" s="38">
        <f t="shared" si="3"/>
        <v>8.5000000000023953E-6</v>
      </c>
      <c r="K121" s="42">
        <f t="shared" si="4"/>
        <v>-3.9887260000000023E-3</v>
      </c>
      <c r="L121" s="40">
        <f t="shared" si="5"/>
        <v>-4.6513700000000213E-4</v>
      </c>
    </row>
    <row r="122" spans="1:12" x14ac:dyDescent="0.2">
      <c r="A122" s="2">
        <v>40755</v>
      </c>
      <c r="B122" s="9">
        <v>2.9450997999999999</v>
      </c>
      <c r="C122" s="9">
        <v>2.9773705000000001</v>
      </c>
      <c r="D122" s="9">
        <v>2.7444383999999999</v>
      </c>
      <c r="E122" s="9">
        <v>3.5798825999999999</v>
      </c>
      <c r="F122" s="9">
        <v>1.559323068124334</v>
      </c>
      <c r="G122" s="9">
        <v>1.3999492838770757</v>
      </c>
      <c r="H122" s="9">
        <v>-2.2227101</v>
      </c>
      <c r="I122" s="9">
        <v>-2.7316509999999998</v>
      </c>
      <c r="J122" s="38">
        <f t="shared" si="3"/>
        <v>-3.227070000000021E-4</v>
      </c>
      <c r="K122" s="42">
        <f t="shared" si="4"/>
        <v>-8.3544420000000001E-3</v>
      </c>
      <c r="L122" s="40">
        <f t="shared" si="5"/>
        <v>5.0894089999999979E-3</v>
      </c>
    </row>
    <row r="123" spans="1:12" x14ac:dyDescent="0.2">
      <c r="A123" s="2">
        <v>40786</v>
      </c>
      <c r="B123" s="9">
        <v>2.4617912999999998</v>
      </c>
      <c r="C123" s="9">
        <v>2.2917961999999998</v>
      </c>
      <c r="D123" s="9">
        <v>3.0901265000000002</v>
      </c>
      <c r="E123" s="9">
        <v>3.7550045999999999</v>
      </c>
      <c r="F123" s="9">
        <v>1.559323068124334</v>
      </c>
      <c r="G123" s="9">
        <v>1.3999492838770757</v>
      </c>
      <c r="H123" s="9">
        <v>-2.2227100000000002</v>
      </c>
      <c r="I123" s="9">
        <v>-2.7316509999999998</v>
      </c>
      <c r="J123" s="38">
        <f t="shared" si="3"/>
        <v>1.6999509999999995E-3</v>
      </c>
      <c r="K123" s="42">
        <f t="shared" si="4"/>
        <v>-6.6487809999999968E-3</v>
      </c>
      <c r="L123" s="40">
        <f t="shared" si="5"/>
        <v>5.0894099999999965E-3</v>
      </c>
    </row>
    <row r="124" spans="1:12" x14ac:dyDescent="0.2">
      <c r="A124" s="2">
        <v>40816</v>
      </c>
      <c r="B124" s="9">
        <v>2.2039046</v>
      </c>
      <c r="C124" s="9">
        <v>1.9616811000000001</v>
      </c>
      <c r="D124" s="9">
        <v>3.2562164999999998</v>
      </c>
      <c r="E124" s="9">
        <v>3.8126350000000002</v>
      </c>
      <c r="F124" s="9">
        <v>1.6477243192048812</v>
      </c>
      <c r="G124" s="9">
        <v>1.2477619558515134</v>
      </c>
      <c r="H124" s="9">
        <v>-2.2227101</v>
      </c>
      <c r="I124" s="9">
        <v>-2.7316509999999998</v>
      </c>
      <c r="J124" s="38">
        <f t="shared" si="3"/>
        <v>2.4222349999999991E-3</v>
      </c>
      <c r="K124" s="42">
        <f t="shared" si="4"/>
        <v>-5.5641850000000036E-3</v>
      </c>
      <c r="L124" s="40">
        <f t="shared" si="5"/>
        <v>5.0894089999999979E-3</v>
      </c>
    </row>
    <row r="125" spans="1:12" x14ac:dyDescent="0.2">
      <c r="A125" s="2">
        <v>40847</v>
      </c>
      <c r="B125" s="9">
        <v>2.2969333999999999</v>
      </c>
      <c r="C125" s="9">
        <v>2.1295332999999999</v>
      </c>
      <c r="D125" s="9">
        <v>2.9812620000000001</v>
      </c>
      <c r="E125" s="9">
        <v>3.5222582999999998</v>
      </c>
      <c r="F125" s="9">
        <v>1.6477243192048812</v>
      </c>
      <c r="G125" s="9">
        <v>1.2477619558515134</v>
      </c>
      <c r="H125" s="9">
        <v>-2.4423237000000002</v>
      </c>
      <c r="I125" s="9">
        <v>-2.7715998000000002</v>
      </c>
      <c r="J125" s="38">
        <f t="shared" si="3"/>
        <v>1.6740010000000005E-3</v>
      </c>
      <c r="K125" s="42">
        <f t="shared" si="4"/>
        <v>-5.4099629999999977E-3</v>
      </c>
      <c r="L125" s="40">
        <f t="shared" si="5"/>
        <v>3.2927609999999995E-3</v>
      </c>
    </row>
    <row r="126" spans="1:12" x14ac:dyDescent="0.2">
      <c r="A126" s="2">
        <v>40877</v>
      </c>
      <c r="B126" s="9">
        <v>2.1286100000000001</v>
      </c>
      <c r="C126" s="9">
        <v>2.0081380000000002</v>
      </c>
      <c r="D126" s="9">
        <v>2.8037473999999998</v>
      </c>
      <c r="E126" s="9">
        <v>3.4514426999999999</v>
      </c>
      <c r="F126" s="9">
        <v>1.6477243192048812</v>
      </c>
      <c r="G126" s="9">
        <v>1.2477619558515134</v>
      </c>
      <c r="H126" s="9">
        <v>-2.4423237000000002</v>
      </c>
      <c r="I126" s="9">
        <v>-2.7715998000000002</v>
      </c>
      <c r="J126" s="38">
        <f t="shared" si="3"/>
        <v>1.2047199999999992E-3</v>
      </c>
      <c r="K126" s="42">
        <f t="shared" si="4"/>
        <v>-6.4769530000000006E-3</v>
      </c>
      <c r="L126" s="40">
        <f t="shared" si="5"/>
        <v>3.2927609999999995E-3</v>
      </c>
    </row>
    <row r="127" spans="1:12" x14ac:dyDescent="0.2">
      <c r="A127" s="2">
        <v>40908</v>
      </c>
      <c r="B127" s="9">
        <v>1.9949954999999999</v>
      </c>
      <c r="C127" s="9">
        <v>1.9714334</v>
      </c>
      <c r="D127" s="9">
        <v>2.1996690000000001</v>
      </c>
      <c r="E127" s="9">
        <v>3.0620785000000001</v>
      </c>
      <c r="F127" s="9">
        <v>1.6055621779124092</v>
      </c>
      <c r="G127" s="9">
        <v>1.3649591869257152</v>
      </c>
      <c r="H127" s="9">
        <v>-2.4423237000000002</v>
      </c>
      <c r="I127" s="9">
        <v>-2.7715998000000002</v>
      </c>
      <c r="J127" s="38">
        <f t="shared" si="3"/>
        <v>2.356209999999992E-4</v>
      </c>
      <c r="K127" s="42">
        <f t="shared" si="4"/>
        <v>-8.624095E-3</v>
      </c>
      <c r="L127" s="40">
        <f t="shared" si="5"/>
        <v>3.2927609999999995E-3</v>
      </c>
    </row>
    <row r="128" spans="1:12" x14ac:dyDescent="0.2">
      <c r="A128" s="2">
        <v>40939</v>
      </c>
      <c r="B128" s="9">
        <v>1.9870950999999999</v>
      </c>
      <c r="C128" s="9">
        <v>1.9444448999999999</v>
      </c>
      <c r="D128" s="9">
        <v>2.6182387</v>
      </c>
      <c r="E128" s="9">
        <v>3.0087643000000002</v>
      </c>
      <c r="F128" s="9">
        <v>1.6055621779124092</v>
      </c>
      <c r="G128" s="9">
        <v>1.3649591869257152</v>
      </c>
      <c r="H128" s="9">
        <v>-2.9060337999999999</v>
      </c>
      <c r="I128" s="9">
        <v>-2.8356059999999998</v>
      </c>
      <c r="J128" s="38">
        <f t="shared" si="3"/>
        <v>4.2650199999999972E-4</v>
      </c>
      <c r="K128" s="42">
        <f t="shared" si="4"/>
        <v>-3.9052560000000015E-3</v>
      </c>
      <c r="L128" s="40">
        <f t="shared" si="5"/>
        <v>-7.0427800000000046E-4</v>
      </c>
    </row>
    <row r="129" spans="1:12" x14ac:dyDescent="0.2">
      <c r="A129" s="2">
        <v>40968</v>
      </c>
      <c r="B129" s="9">
        <v>2.0233895999999998</v>
      </c>
      <c r="C129" s="9">
        <v>1.9607999</v>
      </c>
      <c r="D129" s="9">
        <v>2.6204589999999999</v>
      </c>
      <c r="E129" s="9">
        <v>2.8981754999999998</v>
      </c>
      <c r="F129" s="9">
        <v>1.6055621779124092</v>
      </c>
      <c r="G129" s="9">
        <v>1.3649591869257152</v>
      </c>
      <c r="H129" s="9">
        <v>-2.9060337999999999</v>
      </c>
      <c r="I129" s="9">
        <v>-2.8356059999999998</v>
      </c>
      <c r="J129" s="38">
        <f t="shared" si="3"/>
        <v>6.2589699999999744E-4</v>
      </c>
      <c r="K129" s="42">
        <f t="shared" si="4"/>
        <v>-2.7771649999999994E-3</v>
      </c>
      <c r="L129" s="40">
        <f t="shared" si="5"/>
        <v>-7.0427800000000046E-4</v>
      </c>
    </row>
    <row r="130" spans="1:12" x14ac:dyDescent="0.2">
      <c r="A130" s="2">
        <v>40999</v>
      </c>
      <c r="B130" s="9">
        <v>2.1087544</v>
      </c>
      <c r="C130" s="9">
        <v>2.1629323999999999</v>
      </c>
      <c r="D130" s="9">
        <v>2.0151143</v>
      </c>
      <c r="E130" s="9">
        <v>2.5828757000000002</v>
      </c>
      <c r="F130" s="9">
        <v>1.5072142254541068</v>
      </c>
      <c r="G130" s="9">
        <v>1.5380004407909753</v>
      </c>
      <c r="H130" s="9">
        <v>-2.9060337999999999</v>
      </c>
      <c r="I130" s="9">
        <v>-2.8356059999999998</v>
      </c>
      <c r="J130" s="38">
        <f t="shared" si="3"/>
        <v>-5.4177999999999833E-4</v>
      </c>
      <c r="K130" s="42">
        <f t="shared" si="4"/>
        <v>-5.6776140000000018E-3</v>
      </c>
      <c r="L130" s="40">
        <f t="shared" si="5"/>
        <v>-7.0427800000000046E-4</v>
      </c>
    </row>
    <row r="131" spans="1:12" x14ac:dyDescent="0.2">
      <c r="A131" s="2">
        <v>41029</v>
      </c>
      <c r="B131" s="9">
        <v>2.0733554000000001</v>
      </c>
      <c r="C131" s="9">
        <v>2.0304297999999998</v>
      </c>
      <c r="D131" s="9">
        <v>1.9230746000000001</v>
      </c>
      <c r="E131" s="9">
        <v>2.2731650000000001</v>
      </c>
      <c r="F131" s="9">
        <v>1.5072142254541068</v>
      </c>
      <c r="G131" s="9">
        <v>1.5380004407909753</v>
      </c>
      <c r="H131" s="9">
        <v>-3.8104792000000001</v>
      </c>
      <c r="I131" s="9">
        <v>-2.7149556000000001</v>
      </c>
      <c r="J131" s="38">
        <f t="shared" si="3"/>
        <v>4.2925600000000232E-4</v>
      </c>
      <c r="K131" s="42">
        <f t="shared" si="4"/>
        <v>-3.5009040000000004E-3</v>
      </c>
      <c r="L131" s="40">
        <f t="shared" si="5"/>
        <v>-1.0955236E-2</v>
      </c>
    </row>
    <row r="132" spans="1:12" x14ac:dyDescent="0.2">
      <c r="A132" s="2">
        <v>41060</v>
      </c>
      <c r="B132" s="9">
        <v>1.9352776</v>
      </c>
      <c r="C132" s="9">
        <v>1.7895318</v>
      </c>
      <c r="D132" s="9">
        <v>1.2499996</v>
      </c>
      <c r="E132" s="9">
        <v>1.7379370999999999</v>
      </c>
      <c r="F132" s="9">
        <v>1.5072142254541068</v>
      </c>
      <c r="G132" s="9">
        <v>1.5380004407909753</v>
      </c>
      <c r="H132" s="9">
        <v>-3.8104787</v>
      </c>
      <c r="I132" s="9">
        <v>-2.7149556000000001</v>
      </c>
      <c r="J132" s="38">
        <f t="shared" ref="J132:J195" si="6">(B132-C132)/100</f>
        <v>1.4574580000000005E-3</v>
      </c>
      <c r="K132" s="42">
        <f t="shared" ref="K132:K195" si="7">(D132-E132)/100</f>
        <v>-4.8793749999999992E-3</v>
      </c>
      <c r="L132" s="40">
        <f t="shared" ref="L132:L195" si="8">(H132-I132)/100</f>
        <v>-1.0955230999999999E-2</v>
      </c>
    </row>
    <row r="133" spans="1:12" x14ac:dyDescent="0.2">
      <c r="A133" s="2">
        <v>41090</v>
      </c>
      <c r="B133" s="9">
        <v>1.7505382</v>
      </c>
      <c r="C133" s="9">
        <v>1.6098334999999999</v>
      </c>
      <c r="D133" s="9">
        <v>1.3377886000000001</v>
      </c>
      <c r="E133" s="9">
        <v>1.6538683000000001</v>
      </c>
      <c r="F133" s="9">
        <v>1.5284485248208244</v>
      </c>
      <c r="G133" s="9">
        <v>1.5041879262637554</v>
      </c>
      <c r="H133" s="9">
        <v>-3.8104792000000001</v>
      </c>
      <c r="I133" s="9">
        <v>-2.7149556000000001</v>
      </c>
      <c r="J133" s="38">
        <f t="shared" si="6"/>
        <v>1.4070470000000013E-3</v>
      </c>
      <c r="K133" s="42">
        <f t="shared" si="7"/>
        <v>-3.1607969999999995E-3</v>
      </c>
      <c r="L133" s="40">
        <f t="shared" si="8"/>
        <v>-1.0955236E-2</v>
      </c>
    </row>
    <row r="134" spans="1:12" x14ac:dyDescent="0.2">
      <c r="A134" s="2">
        <v>41121</v>
      </c>
      <c r="B134" s="9">
        <v>1.6590905</v>
      </c>
      <c r="C134" s="9">
        <v>1.5010477</v>
      </c>
      <c r="D134" s="9">
        <v>1.168604</v>
      </c>
      <c r="E134" s="9">
        <v>1.4175104999999999</v>
      </c>
      <c r="F134" s="9">
        <v>1.5284485248208244</v>
      </c>
      <c r="G134" s="9">
        <v>1.5041879262637554</v>
      </c>
      <c r="H134" s="9">
        <v>-3.7774854000000002</v>
      </c>
      <c r="I134" s="9">
        <v>-2.4232545000000001</v>
      </c>
      <c r="J134" s="38">
        <f t="shared" si="6"/>
        <v>1.5804280000000005E-3</v>
      </c>
      <c r="K134" s="42">
        <f t="shared" si="7"/>
        <v>-2.4890649999999991E-3</v>
      </c>
      <c r="L134" s="40">
        <f t="shared" si="8"/>
        <v>-1.3542309000000001E-2</v>
      </c>
    </row>
    <row r="135" spans="1:12" x14ac:dyDescent="0.2">
      <c r="A135" s="2">
        <v>41152</v>
      </c>
      <c r="B135" s="9">
        <v>1.8287696</v>
      </c>
      <c r="C135" s="9">
        <v>1.6716956999999999</v>
      </c>
      <c r="D135" s="9">
        <v>1.3322328000000001</v>
      </c>
      <c r="E135" s="9">
        <v>1.6859280000000001</v>
      </c>
      <c r="F135" s="9">
        <v>1.5284485248208244</v>
      </c>
      <c r="G135" s="9">
        <v>1.5041879262637554</v>
      </c>
      <c r="H135" s="9">
        <v>-3.777485</v>
      </c>
      <c r="I135" s="9">
        <v>-2.4232545000000001</v>
      </c>
      <c r="J135" s="38">
        <f t="shared" si="6"/>
        <v>1.5707390000000009E-3</v>
      </c>
      <c r="K135" s="42">
        <f t="shared" si="7"/>
        <v>-3.5369519999999999E-3</v>
      </c>
      <c r="L135" s="40">
        <f t="shared" si="8"/>
        <v>-1.3542304999999999E-2</v>
      </c>
    </row>
    <row r="136" spans="1:12" x14ac:dyDescent="0.2">
      <c r="A136" s="2">
        <v>41182</v>
      </c>
      <c r="B136" s="9">
        <v>1.8398525999999999</v>
      </c>
      <c r="C136" s="9">
        <v>1.7094738</v>
      </c>
      <c r="D136" s="9">
        <v>1.1618222</v>
      </c>
      <c r="E136" s="9">
        <v>1.949713</v>
      </c>
      <c r="F136" s="9">
        <v>1.3247141094354893</v>
      </c>
      <c r="G136" s="9">
        <v>1.5288797244473629</v>
      </c>
      <c r="H136" s="9">
        <v>-3.777485</v>
      </c>
      <c r="I136" s="9">
        <v>-2.4232545000000001</v>
      </c>
      <c r="J136" s="38">
        <f t="shared" si="6"/>
        <v>1.3037879999999991E-3</v>
      </c>
      <c r="K136" s="42">
        <f t="shared" si="7"/>
        <v>-7.8789080000000004E-3</v>
      </c>
      <c r="L136" s="40">
        <f t="shared" si="8"/>
        <v>-1.3542304999999999E-2</v>
      </c>
    </row>
    <row r="137" spans="1:12" x14ac:dyDescent="0.2">
      <c r="A137" s="2">
        <v>41213</v>
      </c>
      <c r="B137" s="9">
        <v>1.8128523999999999</v>
      </c>
      <c r="C137" s="9">
        <v>1.7258571</v>
      </c>
      <c r="D137" s="9">
        <v>1.0752621</v>
      </c>
      <c r="E137" s="9">
        <v>2.1556839999999999</v>
      </c>
      <c r="F137" s="9">
        <v>1.3247141094354893</v>
      </c>
      <c r="G137" s="9">
        <v>1.5288797244473629</v>
      </c>
      <c r="H137" s="9">
        <v>-3.6389193999999998</v>
      </c>
      <c r="I137" s="9">
        <v>-2.3239356999999998</v>
      </c>
      <c r="J137" s="38">
        <f t="shared" si="6"/>
        <v>8.6995299999999883E-4</v>
      </c>
      <c r="K137" s="42">
        <f t="shared" si="7"/>
        <v>-1.0804218999999999E-2</v>
      </c>
      <c r="L137" s="40">
        <f t="shared" si="8"/>
        <v>-1.3149836999999999E-2</v>
      </c>
    </row>
    <row r="138" spans="1:12" x14ac:dyDescent="0.2">
      <c r="A138" s="2">
        <v>41243</v>
      </c>
      <c r="B138" s="9">
        <v>1.7373049</v>
      </c>
      <c r="C138" s="9">
        <v>1.6453333000000001</v>
      </c>
      <c r="D138" s="9">
        <v>0.90909152999999998</v>
      </c>
      <c r="E138" s="9">
        <v>1.7960100999999999</v>
      </c>
      <c r="F138" s="9">
        <v>1.3247141094354893</v>
      </c>
      <c r="G138" s="9">
        <v>1.5288797244473629</v>
      </c>
      <c r="H138" s="9">
        <v>-3.6389193999999998</v>
      </c>
      <c r="I138" s="9">
        <v>-2.3239356999999998</v>
      </c>
      <c r="J138" s="38">
        <f t="shared" si="6"/>
        <v>9.1971599999999935E-4</v>
      </c>
      <c r="K138" s="42">
        <f t="shared" si="7"/>
        <v>-8.8691856999999989E-3</v>
      </c>
      <c r="L138" s="40">
        <f t="shared" si="8"/>
        <v>-1.3149836999999999E-2</v>
      </c>
    </row>
    <row r="139" spans="1:12" x14ac:dyDescent="0.2">
      <c r="A139" s="2">
        <v>41274</v>
      </c>
      <c r="B139" s="9">
        <v>1.7703049</v>
      </c>
      <c r="C139" s="9">
        <v>1.7080500000000001</v>
      </c>
      <c r="D139" s="9">
        <v>0.99338126000000004</v>
      </c>
      <c r="E139" s="9">
        <v>1.7594904</v>
      </c>
      <c r="F139" s="9">
        <v>1.2010812592357294</v>
      </c>
      <c r="G139" s="9">
        <v>1.3665287652515765</v>
      </c>
      <c r="H139" s="9">
        <v>-3.638919</v>
      </c>
      <c r="I139" s="9">
        <v>-2.3239356999999998</v>
      </c>
      <c r="J139" s="38">
        <f t="shared" si="6"/>
        <v>6.2254899999999893E-4</v>
      </c>
      <c r="K139" s="42">
        <f t="shared" si="7"/>
        <v>-7.6610913999999994E-3</v>
      </c>
      <c r="L139" s="40">
        <f t="shared" si="8"/>
        <v>-1.3149833000000001E-2</v>
      </c>
    </row>
    <row r="140" spans="1:12" x14ac:dyDescent="0.2">
      <c r="A140" s="2">
        <v>41305</v>
      </c>
      <c r="B140" s="9">
        <v>1.9319476</v>
      </c>
      <c r="C140" s="9">
        <v>1.8915238000000001</v>
      </c>
      <c r="D140" s="9">
        <v>0.4938324</v>
      </c>
      <c r="E140" s="9">
        <v>1.6840674</v>
      </c>
      <c r="F140" s="9">
        <v>1.2010812592357294</v>
      </c>
      <c r="G140" s="9">
        <v>1.3665287652515765</v>
      </c>
      <c r="H140" s="9">
        <v>-3.2222178000000001</v>
      </c>
      <c r="I140" s="9">
        <v>-2.1845737000000001</v>
      </c>
      <c r="J140" s="38">
        <f t="shared" si="6"/>
        <v>4.0423799999999898E-4</v>
      </c>
      <c r="K140" s="42">
        <f t="shared" si="7"/>
        <v>-1.1902349999999999E-2</v>
      </c>
      <c r="L140" s="40">
        <f t="shared" si="8"/>
        <v>-1.0376441E-2</v>
      </c>
    </row>
    <row r="141" spans="1:12" x14ac:dyDescent="0.2">
      <c r="A141" s="2">
        <v>41333</v>
      </c>
      <c r="B141" s="9">
        <v>1.9734995</v>
      </c>
      <c r="C141" s="9">
        <v>1.966</v>
      </c>
      <c r="D141" s="9">
        <v>1.2355845000000001</v>
      </c>
      <c r="E141" s="9">
        <v>2.0181323999999998</v>
      </c>
      <c r="F141" s="9">
        <v>1.2010812592357294</v>
      </c>
      <c r="G141" s="9">
        <v>1.3665287652515765</v>
      </c>
      <c r="H141" s="9">
        <v>-3.2222178000000001</v>
      </c>
      <c r="I141" s="9">
        <v>-2.1845737000000001</v>
      </c>
      <c r="J141" s="38">
        <f t="shared" si="6"/>
        <v>7.4994999999999928E-5</v>
      </c>
      <c r="K141" s="42">
        <f t="shared" si="7"/>
        <v>-7.825478999999998E-3</v>
      </c>
      <c r="L141" s="40">
        <f t="shared" si="8"/>
        <v>-1.0376441E-2</v>
      </c>
    </row>
    <row r="142" spans="1:12" x14ac:dyDescent="0.2">
      <c r="A142" s="2">
        <v>41364</v>
      </c>
      <c r="B142" s="9">
        <v>1.8676102000000001</v>
      </c>
      <c r="C142" s="9">
        <v>1.9480002000000001</v>
      </c>
      <c r="D142" s="9">
        <v>1.0699657</v>
      </c>
      <c r="E142" s="9">
        <v>1.5187469</v>
      </c>
      <c r="F142" s="9">
        <v>1.3698001733164238</v>
      </c>
      <c r="G142" s="9">
        <v>1.3926292900506101</v>
      </c>
      <c r="H142" s="9">
        <v>-3.2222178000000001</v>
      </c>
      <c r="I142" s="9">
        <v>-2.1845737000000001</v>
      </c>
      <c r="J142" s="38">
        <f t="shared" si="6"/>
        <v>-8.0389999999999965E-4</v>
      </c>
      <c r="K142" s="42">
        <f t="shared" si="7"/>
        <v>-4.4878119999999999E-3</v>
      </c>
      <c r="L142" s="40">
        <f t="shared" si="8"/>
        <v>-1.0376441E-2</v>
      </c>
    </row>
    <row r="143" spans="1:12" x14ac:dyDescent="0.2">
      <c r="A143" s="2">
        <v>41394</v>
      </c>
      <c r="B143" s="9">
        <v>1.7581636</v>
      </c>
      <c r="C143" s="9">
        <v>1.7343636</v>
      </c>
      <c r="D143" s="9">
        <v>0.32815023999999998</v>
      </c>
      <c r="E143" s="9">
        <v>1.1388065000000001</v>
      </c>
      <c r="F143" s="9">
        <v>1.3698001733164238</v>
      </c>
      <c r="G143" s="9">
        <v>1.3926292900506101</v>
      </c>
      <c r="H143" s="9">
        <v>-3.3073397</v>
      </c>
      <c r="I143" s="9">
        <v>-2.1319306</v>
      </c>
      <c r="J143" s="38">
        <f t="shared" si="6"/>
        <v>2.3800000000000045E-4</v>
      </c>
      <c r="K143" s="42">
        <f t="shared" si="7"/>
        <v>-8.1065626000000005E-3</v>
      </c>
      <c r="L143" s="40">
        <f t="shared" si="8"/>
        <v>-1.1754090999999999E-2</v>
      </c>
    </row>
    <row r="144" spans="1:12" x14ac:dyDescent="0.2">
      <c r="A144" s="2">
        <v>41425</v>
      </c>
      <c r="B144" s="9">
        <v>1.904382</v>
      </c>
      <c r="C144" s="9">
        <v>1.9190906999999999</v>
      </c>
      <c r="D144" s="9">
        <v>0.65844769999999997</v>
      </c>
      <c r="E144" s="9">
        <v>1.3904000000000001</v>
      </c>
      <c r="F144" s="9">
        <v>1.3698001733164238</v>
      </c>
      <c r="G144" s="9">
        <v>1.3926292900506101</v>
      </c>
      <c r="H144" s="9">
        <v>-3.3073391999999999</v>
      </c>
      <c r="I144" s="9">
        <v>-2.1319306</v>
      </c>
      <c r="J144" s="38">
        <f t="shared" si="6"/>
        <v>-1.4708699999999909E-4</v>
      </c>
      <c r="K144" s="42">
        <f t="shared" si="7"/>
        <v>-7.3195230000000014E-3</v>
      </c>
      <c r="L144" s="40">
        <f t="shared" si="8"/>
        <v>-1.1754085999999999E-2</v>
      </c>
    </row>
    <row r="145" spans="1:12" x14ac:dyDescent="0.2">
      <c r="A145" s="2">
        <v>41455</v>
      </c>
      <c r="B145" s="9">
        <v>2.247725</v>
      </c>
      <c r="C145" s="9">
        <v>2.2944</v>
      </c>
      <c r="D145" s="9">
        <v>1.1551187999999999</v>
      </c>
      <c r="E145" s="9">
        <v>1.7158026</v>
      </c>
      <c r="F145" s="9">
        <v>1.4135029345586834</v>
      </c>
      <c r="G145" s="9">
        <v>1.3608069209377316</v>
      </c>
      <c r="H145" s="9">
        <v>-3.3073391999999999</v>
      </c>
      <c r="I145" s="9">
        <v>-2.1319306</v>
      </c>
      <c r="J145" s="38">
        <f t="shared" si="6"/>
        <v>-4.6675000000000021E-4</v>
      </c>
      <c r="K145" s="42">
        <f t="shared" si="7"/>
        <v>-5.6068380000000003E-3</v>
      </c>
      <c r="L145" s="40">
        <f t="shared" si="8"/>
        <v>-1.1754085999999999E-2</v>
      </c>
    </row>
    <row r="146" spans="1:12" x14ac:dyDescent="0.2">
      <c r="A146" s="2">
        <v>41486</v>
      </c>
      <c r="B146" s="9">
        <v>2.4465813999999999</v>
      </c>
      <c r="C146" s="9">
        <v>2.5630454999999999</v>
      </c>
      <c r="D146" s="9">
        <v>1.3201415999999999</v>
      </c>
      <c r="E146" s="9">
        <v>1.8854711</v>
      </c>
      <c r="F146" s="9">
        <v>1.4135029345586834</v>
      </c>
      <c r="G146" s="9">
        <v>1.3608069209377316</v>
      </c>
      <c r="H146" s="9">
        <v>-2.9411828999999998</v>
      </c>
      <c r="I146" s="9">
        <v>-2.0146942000000001</v>
      </c>
      <c r="J146" s="38">
        <f t="shared" si="6"/>
        <v>-1.1646409999999997E-3</v>
      </c>
      <c r="K146" s="42">
        <f t="shared" si="7"/>
        <v>-5.653295E-3</v>
      </c>
      <c r="L146" s="40">
        <f t="shared" si="8"/>
        <v>-9.2648869999999977E-3</v>
      </c>
    </row>
    <row r="147" spans="1:12" x14ac:dyDescent="0.2">
      <c r="A147" s="2">
        <v>41517</v>
      </c>
      <c r="B147" s="9">
        <v>2.6122993999999999</v>
      </c>
      <c r="C147" s="9">
        <v>2.7340908000000002</v>
      </c>
      <c r="D147" s="9">
        <v>0.98602820000000002</v>
      </c>
      <c r="E147" s="9">
        <v>1.5388036</v>
      </c>
      <c r="F147" s="9">
        <v>1.4135029345586834</v>
      </c>
      <c r="G147" s="9">
        <v>1.3608069209377316</v>
      </c>
      <c r="H147" s="9">
        <v>-2.9411825999999999</v>
      </c>
      <c r="I147" s="9">
        <v>-2.0146942000000001</v>
      </c>
      <c r="J147" s="38">
        <f t="shared" si="6"/>
        <v>-1.2179140000000022E-3</v>
      </c>
      <c r="K147" s="42">
        <f t="shared" si="7"/>
        <v>-5.5277540000000002E-3</v>
      </c>
      <c r="L147" s="40">
        <f t="shared" si="8"/>
        <v>-9.2648839999999975E-3</v>
      </c>
    </row>
    <row r="148" spans="1:12" x14ac:dyDescent="0.2">
      <c r="A148" s="2">
        <v>41547</v>
      </c>
      <c r="B148" s="9">
        <v>2.6993349000000002</v>
      </c>
      <c r="C148" s="9">
        <v>2.8043</v>
      </c>
      <c r="D148" s="9">
        <v>0.98441045999999999</v>
      </c>
      <c r="E148" s="9">
        <v>1.0947331</v>
      </c>
      <c r="F148" s="9">
        <v>1.5213484974372531</v>
      </c>
      <c r="G148" s="9">
        <v>1.4792742058515649</v>
      </c>
      <c r="H148" s="9">
        <v>-2.9411825999999999</v>
      </c>
      <c r="I148" s="9">
        <v>-2.0146942000000001</v>
      </c>
      <c r="J148" s="38">
        <f t="shared" si="6"/>
        <v>-1.049650999999998E-3</v>
      </c>
      <c r="K148" s="42">
        <f t="shared" si="7"/>
        <v>-1.1032264000000003E-3</v>
      </c>
      <c r="L148" s="40">
        <f t="shared" si="8"/>
        <v>-9.2648839999999975E-3</v>
      </c>
    </row>
    <row r="149" spans="1:12" x14ac:dyDescent="0.2">
      <c r="A149" s="2">
        <v>41578</v>
      </c>
      <c r="B149" s="9">
        <v>2.5247351999999998</v>
      </c>
      <c r="C149" s="9">
        <v>2.6041305000000001</v>
      </c>
      <c r="D149" s="9">
        <v>0.65466254999999995</v>
      </c>
      <c r="E149" s="9">
        <v>0.87679850000000004</v>
      </c>
      <c r="F149" s="9">
        <v>1.5213484974372531</v>
      </c>
      <c r="G149" s="9">
        <v>1.4792742058515649</v>
      </c>
      <c r="H149" s="9">
        <v>-3.0994391000000001</v>
      </c>
      <c r="I149" s="9">
        <v>-1.722683</v>
      </c>
      <c r="J149" s="38">
        <f t="shared" si="6"/>
        <v>-7.9395300000000284E-4</v>
      </c>
      <c r="K149" s="42">
        <f t="shared" si="7"/>
        <v>-2.2213595000000006E-3</v>
      </c>
      <c r="L149" s="40">
        <f t="shared" si="8"/>
        <v>-1.3767561000000001E-2</v>
      </c>
    </row>
    <row r="150" spans="1:12" x14ac:dyDescent="0.2">
      <c r="A150" s="2">
        <v>41608</v>
      </c>
      <c r="B150" s="9">
        <v>2.5503301999999999</v>
      </c>
      <c r="C150" s="9">
        <v>2.7088047999999998</v>
      </c>
      <c r="D150" s="9">
        <v>0.90090150000000002</v>
      </c>
      <c r="E150" s="9">
        <v>1.2328749000000001</v>
      </c>
      <c r="F150" s="9">
        <v>1.5213484974372531</v>
      </c>
      <c r="G150" s="9">
        <v>1.4792742058515649</v>
      </c>
      <c r="H150" s="9">
        <v>-3.0994391000000001</v>
      </c>
      <c r="I150" s="9">
        <v>-1.722683</v>
      </c>
      <c r="J150" s="38">
        <f t="shared" si="6"/>
        <v>-1.5847459999999991E-3</v>
      </c>
      <c r="K150" s="42">
        <f t="shared" si="7"/>
        <v>-3.3197340000000008E-3</v>
      </c>
      <c r="L150" s="40">
        <f t="shared" si="8"/>
        <v>-1.3767561000000001E-2</v>
      </c>
    </row>
    <row r="151" spans="1:12" x14ac:dyDescent="0.2">
      <c r="A151" s="2">
        <v>41639</v>
      </c>
      <c r="B151" s="9">
        <v>2.6744523</v>
      </c>
      <c r="C151" s="9">
        <v>2.8924808999999998</v>
      </c>
      <c r="D151" s="9">
        <v>1.3114714999999999</v>
      </c>
      <c r="E151" s="9">
        <v>1.5128455000000001</v>
      </c>
      <c r="F151" s="9">
        <v>1.636326822796945</v>
      </c>
      <c r="G151" s="9">
        <v>1.5886102725605529</v>
      </c>
      <c r="H151" s="9">
        <v>-3.0994391000000001</v>
      </c>
      <c r="I151" s="9">
        <v>-1.722683</v>
      </c>
      <c r="J151" s="38">
        <f t="shared" si="6"/>
        <v>-2.1802859999999979E-3</v>
      </c>
      <c r="K151" s="42">
        <f t="shared" si="7"/>
        <v>-2.0137400000000017E-3</v>
      </c>
      <c r="L151" s="40">
        <f t="shared" si="8"/>
        <v>-1.3767561000000001E-2</v>
      </c>
    </row>
    <row r="152" spans="1:12" x14ac:dyDescent="0.2">
      <c r="A152" s="2">
        <v>41670</v>
      </c>
      <c r="B152" s="9">
        <v>2.5390239000000001</v>
      </c>
      <c r="C152" s="9">
        <v>2.8500573999999999</v>
      </c>
      <c r="D152" s="9">
        <v>1.4742036000000001</v>
      </c>
      <c r="E152" s="9">
        <v>1.5577605000000001</v>
      </c>
      <c r="F152" s="9">
        <v>1.636326822796945</v>
      </c>
      <c r="G152" s="9">
        <v>1.5886102725605529</v>
      </c>
      <c r="H152" s="9">
        <v>-2.4049480000000001</v>
      </c>
      <c r="I152" s="9">
        <v>-2.114557</v>
      </c>
      <c r="J152" s="38">
        <f t="shared" si="6"/>
        <v>-3.1103349999999975E-3</v>
      </c>
      <c r="K152" s="42">
        <f t="shared" si="7"/>
        <v>-8.3556900000000042E-4</v>
      </c>
      <c r="L152" s="40">
        <f t="shared" si="8"/>
        <v>-2.9039100000000009E-3</v>
      </c>
    </row>
    <row r="153" spans="1:12" x14ac:dyDescent="0.2">
      <c r="A153" s="2">
        <v>41698</v>
      </c>
      <c r="B153" s="9">
        <v>2.4351734999999999</v>
      </c>
      <c r="C153" s="9">
        <v>2.7001846</v>
      </c>
      <c r="D153" s="9">
        <v>1.1391407</v>
      </c>
      <c r="E153" s="9">
        <v>1.1204795000000001</v>
      </c>
      <c r="F153" s="9">
        <v>1.636326822796945</v>
      </c>
      <c r="G153" s="9">
        <v>1.5886102725605529</v>
      </c>
      <c r="H153" s="9">
        <v>-2.4049482000000002</v>
      </c>
      <c r="I153" s="9">
        <v>-2.114557</v>
      </c>
      <c r="J153" s="38">
        <f t="shared" si="6"/>
        <v>-2.6501110000000019E-3</v>
      </c>
      <c r="K153" s="42">
        <f t="shared" si="7"/>
        <v>1.8661199999999933E-4</v>
      </c>
      <c r="L153" s="40">
        <f t="shared" si="8"/>
        <v>-2.903912000000002E-3</v>
      </c>
    </row>
    <row r="154" spans="1:12" x14ac:dyDescent="0.2">
      <c r="A154" s="2">
        <v>41729</v>
      </c>
      <c r="B154" s="9">
        <v>2.4573285999999999</v>
      </c>
      <c r="C154" s="9">
        <v>2.7179432000000001</v>
      </c>
      <c r="D154" s="9">
        <v>1.3843572</v>
      </c>
      <c r="E154" s="9">
        <v>1.6126895000000001</v>
      </c>
      <c r="F154" s="9">
        <v>1.5378989451004317</v>
      </c>
      <c r="G154" s="9">
        <v>1.3839694401963936</v>
      </c>
      <c r="H154" s="9">
        <v>-2.4049480000000001</v>
      </c>
      <c r="I154" s="9">
        <v>-2.114557</v>
      </c>
      <c r="J154" s="38">
        <f t="shared" si="6"/>
        <v>-2.6061460000000023E-3</v>
      </c>
      <c r="K154" s="42">
        <f t="shared" si="7"/>
        <v>-2.2833230000000016E-3</v>
      </c>
      <c r="L154" s="40">
        <f t="shared" si="8"/>
        <v>-2.9039100000000009E-3</v>
      </c>
    </row>
    <row r="155" spans="1:12" x14ac:dyDescent="0.2">
      <c r="A155" s="2">
        <v>41759</v>
      </c>
      <c r="B155" s="9">
        <v>2.4441476</v>
      </c>
      <c r="C155" s="9">
        <v>2.6887523999999998</v>
      </c>
      <c r="D155" s="9">
        <v>2.2076693000000001</v>
      </c>
      <c r="E155" s="9">
        <v>2.0151248000000002</v>
      </c>
      <c r="F155" s="9">
        <v>1.5378989451004317</v>
      </c>
      <c r="G155" s="9">
        <v>1.3839694401963936</v>
      </c>
      <c r="H155" s="9">
        <v>-2.0551157</v>
      </c>
      <c r="I155" s="9">
        <v>-1.9903293</v>
      </c>
      <c r="J155" s="38">
        <f t="shared" si="6"/>
        <v>-2.4460479999999984E-3</v>
      </c>
      <c r="K155" s="42">
        <f t="shared" si="7"/>
        <v>1.9254449999999989E-3</v>
      </c>
      <c r="L155" s="40">
        <f t="shared" si="8"/>
        <v>-6.4786400000000017E-4</v>
      </c>
    </row>
    <row r="156" spans="1:12" x14ac:dyDescent="0.2">
      <c r="A156" s="2">
        <v>41790</v>
      </c>
      <c r="B156" s="9">
        <v>2.3170001999999998</v>
      </c>
      <c r="C156" s="9">
        <v>2.5574715000000001</v>
      </c>
      <c r="D156" s="9">
        <v>2.2894451999999998</v>
      </c>
      <c r="E156" s="9">
        <v>2.1669399999999999</v>
      </c>
      <c r="F156" s="9">
        <v>1.5378989451004317</v>
      </c>
      <c r="G156" s="9">
        <v>1.3839694401963936</v>
      </c>
      <c r="H156" s="9">
        <v>-2.0551157</v>
      </c>
      <c r="I156" s="9">
        <v>-1.9903293</v>
      </c>
      <c r="J156" s="38">
        <f t="shared" si="6"/>
        <v>-2.4047130000000028E-3</v>
      </c>
      <c r="K156" s="42">
        <f t="shared" si="7"/>
        <v>1.2250519999999999E-3</v>
      </c>
      <c r="L156" s="40">
        <f t="shared" si="8"/>
        <v>-6.4786400000000017E-4</v>
      </c>
    </row>
    <row r="157" spans="1:12" x14ac:dyDescent="0.2">
      <c r="A157" s="2">
        <v>41820</v>
      </c>
      <c r="B157" s="9">
        <v>2.2918620000000001</v>
      </c>
      <c r="C157" s="9">
        <v>2.5924665999999998</v>
      </c>
      <c r="D157" s="9">
        <v>2.2838563999999999</v>
      </c>
      <c r="E157" s="9">
        <v>2.0589788000000002</v>
      </c>
      <c r="F157" s="9">
        <v>1.5847358043331481</v>
      </c>
      <c r="G157" s="9">
        <v>1.5451656940813649</v>
      </c>
      <c r="H157" s="9">
        <v>-2.0551157</v>
      </c>
      <c r="I157" s="9">
        <v>-1.9903293</v>
      </c>
      <c r="J157" s="38">
        <f t="shared" si="6"/>
        <v>-3.0060459999999979E-3</v>
      </c>
      <c r="K157" s="42">
        <f t="shared" si="7"/>
        <v>2.2487759999999966E-3</v>
      </c>
      <c r="L157" s="40">
        <f t="shared" si="8"/>
        <v>-6.4786400000000017E-4</v>
      </c>
    </row>
    <row r="158" spans="1:12" x14ac:dyDescent="0.2">
      <c r="A158" s="2">
        <v>41851</v>
      </c>
      <c r="B158" s="9">
        <v>2.2022862000000001</v>
      </c>
      <c r="C158" s="9">
        <v>2.5254774000000002</v>
      </c>
      <c r="D158" s="9">
        <v>2.117264</v>
      </c>
      <c r="E158" s="9">
        <v>1.9742379000000001</v>
      </c>
      <c r="F158" s="9">
        <v>1.5847358043331481</v>
      </c>
      <c r="G158" s="9">
        <v>1.5451656940813649</v>
      </c>
      <c r="H158" s="9">
        <v>-1.8967202000000001</v>
      </c>
      <c r="I158" s="9">
        <v>-2.0037712999999999</v>
      </c>
      <c r="J158" s="38">
        <f t="shared" si="6"/>
        <v>-3.2319120000000013E-3</v>
      </c>
      <c r="K158" s="42">
        <f t="shared" si="7"/>
        <v>1.4302609999999993E-3</v>
      </c>
      <c r="L158" s="40">
        <f t="shared" si="8"/>
        <v>1.0705109999999984E-3</v>
      </c>
    </row>
    <row r="159" spans="1:12" x14ac:dyDescent="0.2">
      <c r="A159" s="2">
        <v>41882</v>
      </c>
      <c r="B159" s="9">
        <v>2.0697809999999999</v>
      </c>
      <c r="C159" s="9">
        <v>2.4142663</v>
      </c>
      <c r="D159" s="9">
        <v>2.1155412</v>
      </c>
      <c r="E159" s="9">
        <v>1.7151050000000001</v>
      </c>
      <c r="F159" s="9">
        <v>1.5847358043331481</v>
      </c>
      <c r="G159" s="9">
        <v>1.5451656940813649</v>
      </c>
      <c r="H159" s="9">
        <v>-1.8967202000000001</v>
      </c>
      <c r="I159" s="9">
        <v>-2.0037712999999999</v>
      </c>
      <c r="J159" s="38">
        <f t="shared" si="6"/>
        <v>-3.4448530000000012E-3</v>
      </c>
      <c r="K159" s="42">
        <f t="shared" si="7"/>
        <v>4.0043619999999992E-3</v>
      </c>
      <c r="L159" s="40">
        <f t="shared" si="8"/>
        <v>1.0705109999999984E-3</v>
      </c>
    </row>
    <row r="160" spans="1:12" x14ac:dyDescent="0.2">
      <c r="A160" s="2">
        <v>41912</v>
      </c>
      <c r="B160" s="9">
        <v>2.1817479999999998</v>
      </c>
      <c r="C160" s="9">
        <v>2.5239381999999999</v>
      </c>
      <c r="D160" s="9">
        <v>2.1121044000000002</v>
      </c>
      <c r="E160" s="9">
        <v>1.6840501000000001</v>
      </c>
      <c r="F160" s="9">
        <v>1.6029996851660471</v>
      </c>
      <c r="G160" s="9">
        <v>1.5952711547205054</v>
      </c>
      <c r="H160" s="9">
        <v>-1.8967202000000001</v>
      </c>
      <c r="I160" s="9">
        <v>-2.0037712999999999</v>
      </c>
      <c r="J160" s="38">
        <f t="shared" si="6"/>
        <v>-3.421902000000001E-3</v>
      </c>
      <c r="K160" s="42">
        <f t="shared" si="7"/>
        <v>4.2805430000000012E-3</v>
      </c>
      <c r="L160" s="40">
        <f t="shared" si="8"/>
        <v>1.0705109999999984E-3</v>
      </c>
    </row>
    <row r="161" spans="1:12" x14ac:dyDescent="0.2">
      <c r="A161" s="2">
        <v>41943</v>
      </c>
      <c r="B161" s="9">
        <v>2.0101651999999999</v>
      </c>
      <c r="C161" s="9">
        <v>2.2870650000000001</v>
      </c>
      <c r="D161" s="9">
        <v>2.3577265999999999</v>
      </c>
      <c r="E161" s="9">
        <v>1.6095374</v>
      </c>
      <c r="F161" s="9">
        <v>1.6029996851660471</v>
      </c>
      <c r="G161" s="9">
        <v>1.5952711547205054</v>
      </c>
      <c r="H161" s="9">
        <v>-2.9214318000000001</v>
      </c>
      <c r="I161" s="9">
        <v>-2.2953005000000002</v>
      </c>
      <c r="J161" s="38">
        <f t="shared" si="6"/>
        <v>-2.7689980000000025E-3</v>
      </c>
      <c r="K161" s="42">
        <f t="shared" si="7"/>
        <v>7.4818919999999987E-3</v>
      </c>
      <c r="L161" s="40">
        <f t="shared" si="8"/>
        <v>-6.2613129999999993E-3</v>
      </c>
    </row>
    <row r="162" spans="1:12" x14ac:dyDescent="0.2">
      <c r="A162" s="2">
        <v>41973</v>
      </c>
      <c r="B162" s="9">
        <v>2.0134628000000001</v>
      </c>
      <c r="C162" s="9">
        <v>2.3208315000000002</v>
      </c>
      <c r="D162" s="9">
        <v>2.0292113000000001</v>
      </c>
      <c r="E162" s="9">
        <v>1.2315297000000001</v>
      </c>
      <c r="F162" s="9">
        <v>1.6029996851660471</v>
      </c>
      <c r="G162" s="9">
        <v>1.5952711547205054</v>
      </c>
      <c r="H162" s="9">
        <v>-2.9214318000000001</v>
      </c>
      <c r="I162" s="9">
        <v>-2.2953005000000002</v>
      </c>
      <c r="J162" s="38">
        <f t="shared" si="6"/>
        <v>-3.0736870000000003E-3</v>
      </c>
      <c r="K162" s="42">
        <f t="shared" si="7"/>
        <v>7.9768159999999994E-3</v>
      </c>
      <c r="L162" s="40">
        <f t="shared" si="8"/>
        <v>-6.2613129999999993E-3</v>
      </c>
    </row>
    <row r="163" spans="1:12" x14ac:dyDescent="0.2">
      <c r="A163" s="2">
        <v>42004</v>
      </c>
      <c r="B163" s="9">
        <v>1.8475820000000001</v>
      </c>
      <c r="C163" s="9">
        <v>2.2032316000000001</v>
      </c>
      <c r="D163" s="9">
        <v>1.5372155000000001</v>
      </c>
      <c r="E163" s="9">
        <v>0.65312119999999996</v>
      </c>
      <c r="F163" s="9">
        <v>1.5544947990598896</v>
      </c>
      <c r="G163" s="9">
        <v>1.5447045374331323</v>
      </c>
      <c r="H163" s="9">
        <v>-2.9214318000000001</v>
      </c>
      <c r="I163" s="9">
        <v>-2.2953005000000002</v>
      </c>
      <c r="J163" s="38">
        <f t="shared" si="6"/>
        <v>-3.5564960000000001E-3</v>
      </c>
      <c r="K163" s="42">
        <f t="shared" si="7"/>
        <v>8.8409430000000004E-3</v>
      </c>
      <c r="L163" s="40">
        <f t="shared" si="8"/>
        <v>-6.2613129999999993E-3</v>
      </c>
    </row>
    <row r="164" spans="1:12" x14ac:dyDescent="0.2">
      <c r="A164" s="2">
        <v>42035</v>
      </c>
      <c r="B164" s="9">
        <v>1.5308301</v>
      </c>
      <c r="C164" s="9">
        <v>1.8678751</v>
      </c>
      <c r="D164" s="9">
        <v>0.96852004999999997</v>
      </c>
      <c r="E164" s="9">
        <v>-0.22993468</v>
      </c>
      <c r="F164" s="9">
        <v>1.5544947990598896</v>
      </c>
      <c r="G164" s="9">
        <v>1.5447045374331323</v>
      </c>
      <c r="H164" s="9">
        <v>-3.8943707999999999</v>
      </c>
      <c r="I164" s="9">
        <v>-2.2010092999999999</v>
      </c>
      <c r="J164" s="38">
        <f t="shared" si="6"/>
        <v>-3.3704500000000005E-3</v>
      </c>
      <c r="K164" s="42">
        <f t="shared" si="7"/>
        <v>1.1984547299999999E-2</v>
      </c>
      <c r="L164" s="40">
        <f t="shared" si="8"/>
        <v>-1.6933614999999999E-2</v>
      </c>
    </row>
    <row r="165" spans="1:12" x14ac:dyDescent="0.2">
      <c r="A165" s="2">
        <v>42063</v>
      </c>
      <c r="B165" s="9">
        <v>1.3792473000000001</v>
      </c>
      <c r="C165" s="9">
        <v>1.9697051999999999</v>
      </c>
      <c r="D165" s="9">
        <v>0.96540329999999996</v>
      </c>
      <c r="E165" s="9">
        <v>-8.7034329999999993E-2</v>
      </c>
      <c r="F165" s="9">
        <v>1.5544947990598896</v>
      </c>
      <c r="G165" s="9">
        <v>1.5447045374331323</v>
      </c>
      <c r="H165" s="9">
        <v>-3.8943707999999999</v>
      </c>
      <c r="I165" s="9">
        <v>-2.2010092999999999</v>
      </c>
      <c r="J165" s="38">
        <f t="shared" si="6"/>
        <v>-5.9045789999999983E-3</v>
      </c>
      <c r="K165" s="42">
        <f t="shared" si="7"/>
        <v>1.0524376300000001E-2</v>
      </c>
      <c r="L165" s="40">
        <f t="shared" si="8"/>
        <v>-1.6933614999999999E-2</v>
      </c>
    </row>
    <row r="166" spans="1:12" x14ac:dyDescent="0.2">
      <c r="A166" s="2">
        <v>42094</v>
      </c>
      <c r="B166" s="9">
        <v>1.4203136999999999</v>
      </c>
      <c r="C166" s="9">
        <v>2.0381586999999999</v>
      </c>
      <c r="D166" s="9">
        <v>1.2851368000000001</v>
      </c>
      <c r="E166" s="9">
        <v>-2.2034567000000001E-2</v>
      </c>
      <c r="F166" s="9">
        <v>1.4441484987818454</v>
      </c>
      <c r="G166" s="9">
        <v>1.7064673716631085</v>
      </c>
      <c r="H166" s="9">
        <v>-3.8943707999999999</v>
      </c>
      <c r="I166" s="9">
        <v>-2.2010092999999999</v>
      </c>
      <c r="J166" s="38">
        <f t="shared" si="6"/>
        <v>-6.1784499999999994E-3</v>
      </c>
      <c r="K166" s="42">
        <f t="shared" si="7"/>
        <v>1.307171367E-2</v>
      </c>
      <c r="L166" s="40">
        <f t="shared" si="8"/>
        <v>-1.6933614999999999E-2</v>
      </c>
    </row>
    <row r="167" spans="1:12" x14ac:dyDescent="0.2">
      <c r="A167" s="2">
        <v>42124</v>
      </c>
      <c r="B167" s="9">
        <v>1.4129666000000001</v>
      </c>
      <c r="C167" s="9">
        <v>1.9218948</v>
      </c>
      <c r="D167" s="9">
        <v>0.64001112999999998</v>
      </c>
      <c r="E167" s="9">
        <v>-0.10402686999999999</v>
      </c>
      <c r="F167" s="9">
        <v>1.4441484987818454</v>
      </c>
      <c r="G167" s="9">
        <v>1.7064673716631085</v>
      </c>
      <c r="H167" s="9">
        <v>-3.3561049999999999</v>
      </c>
      <c r="I167" s="9">
        <v>-2.1767216</v>
      </c>
      <c r="J167" s="38">
        <f t="shared" si="6"/>
        <v>-5.0892819999999997E-3</v>
      </c>
      <c r="K167" s="42">
        <f t="shared" si="7"/>
        <v>7.4403799999999999E-3</v>
      </c>
      <c r="L167" s="40">
        <f t="shared" si="8"/>
        <v>-1.1793833999999998E-2</v>
      </c>
    </row>
    <row r="168" spans="1:12" x14ac:dyDescent="0.2">
      <c r="A168" s="2">
        <v>42155</v>
      </c>
      <c r="B168" s="9">
        <v>1.745055</v>
      </c>
      <c r="C168" s="9">
        <v>2.1826050000000001</v>
      </c>
      <c r="D168" s="9">
        <v>0.95922976999999998</v>
      </c>
      <c r="E168" s="9">
        <v>3.5037345999999997E-2</v>
      </c>
      <c r="F168" s="9">
        <v>1.4441484987818454</v>
      </c>
      <c r="G168" s="9">
        <v>1.7064673716631085</v>
      </c>
      <c r="H168" s="9">
        <v>-3.3561049999999999</v>
      </c>
      <c r="I168" s="9">
        <v>-2.1767216</v>
      </c>
      <c r="J168" s="38">
        <f t="shared" si="6"/>
        <v>-4.3755000000000009E-3</v>
      </c>
      <c r="K168" s="42">
        <f t="shared" si="7"/>
        <v>9.2419242399999994E-3</v>
      </c>
      <c r="L168" s="40">
        <f t="shared" si="8"/>
        <v>-1.1793833999999998E-2</v>
      </c>
    </row>
    <row r="169" spans="1:12" x14ac:dyDescent="0.2">
      <c r="A169" s="2">
        <v>42185</v>
      </c>
      <c r="B169" s="9">
        <v>1.7832958000000001</v>
      </c>
      <c r="C169" s="9">
        <v>2.3600816999999998</v>
      </c>
      <c r="D169" s="9">
        <v>1.1164175000000001</v>
      </c>
      <c r="E169" s="9">
        <v>0.17955869999999999</v>
      </c>
      <c r="F169" s="9">
        <v>1.2196737235520472</v>
      </c>
      <c r="G169" s="9">
        <v>1.6234937679949295</v>
      </c>
      <c r="H169" s="9">
        <v>-3.3561049999999999</v>
      </c>
      <c r="I169" s="9">
        <v>-2.1767216</v>
      </c>
      <c r="J169" s="38">
        <f t="shared" si="6"/>
        <v>-5.7678589999999976E-3</v>
      </c>
      <c r="K169" s="42">
        <f t="shared" si="7"/>
        <v>9.3685880000000006E-3</v>
      </c>
      <c r="L169" s="40">
        <f t="shared" si="8"/>
        <v>-1.1793833999999998E-2</v>
      </c>
    </row>
    <row r="170" spans="1:12" x14ac:dyDescent="0.2">
      <c r="A170" s="2">
        <v>42216</v>
      </c>
      <c r="B170" s="9">
        <v>1.5753683999999999</v>
      </c>
      <c r="C170" s="9">
        <v>2.3153315000000001</v>
      </c>
      <c r="D170" s="9">
        <v>1.3556545</v>
      </c>
      <c r="E170" s="9">
        <v>0.22568740000000001</v>
      </c>
      <c r="F170" s="9">
        <v>1.2196737235520472</v>
      </c>
      <c r="G170" s="9">
        <v>1.6234937679949295</v>
      </c>
      <c r="H170" s="9">
        <v>-3.1352456000000002</v>
      </c>
      <c r="I170" s="9">
        <v>-2.3895059999999999</v>
      </c>
      <c r="J170" s="38">
        <f t="shared" si="6"/>
        <v>-7.399631000000002E-3</v>
      </c>
      <c r="K170" s="42">
        <f t="shared" si="7"/>
        <v>1.1299671000000001E-2</v>
      </c>
      <c r="L170" s="40">
        <f t="shared" si="8"/>
        <v>-7.4573960000000024E-3</v>
      </c>
    </row>
    <row r="171" spans="1:12" x14ac:dyDescent="0.2">
      <c r="A171" s="2">
        <v>42247</v>
      </c>
      <c r="B171" s="9">
        <v>1.397224</v>
      </c>
      <c r="C171" s="9">
        <v>2.1604526000000002</v>
      </c>
      <c r="D171" s="9">
        <v>1.2748965000000001</v>
      </c>
      <c r="E171" s="9">
        <v>0.24130751</v>
      </c>
      <c r="F171" s="9">
        <v>1.2196737235520472</v>
      </c>
      <c r="G171" s="9">
        <v>1.6234937679949295</v>
      </c>
      <c r="H171" s="9">
        <v>-3.1352456000000002</v>
      </c>
      <c r="I171" s="9">
        <v>-2.3895059999999999</v>
      </c>
      <c r="J171" s="38">
        <f t="shared" si="6"/>
        <v>-7.6322860000000011E-3</v>
      </c>
      <c r="K171" s="42">
        <f t="shared" si="7"/>
        <v>1.0335889900000001E-2</v>
      </c>
      <c r="L171" s="40">
        <f t="shared" si="8"/>
        <v>-7.4573960000000024E-3</v>
      </c>
    </row>
    <row r="172" spans="1:12" x14ac:dyDescent="0.2">
      <c r="A172" s="2">
        <v>42277</v>
      </c>
      <c r="B172" s="9">
        <v>1.4842237</v>
      </c>
      <c r="C172" s="9">
        <v>2.1704335000000001</v>
      </c>
      <c r="D172" s="9">
        <v>1.0342150999999999</v>
      </c>
      <c r="E172" s="9">
        <v>8.8390910000000003E-3</v>
      </c>
      <c r="F172" s="9">
        <v>1.0669989011740224</v>
      </c>
      <c r="G172" s="9">
        <v>1.5106366334405343</v>
      </c>
      <c r="H172" s="9">
        <v>-3.1352456000000002</v>
      </c>
      <c r="I172" s="9">
        <v>-2.3895059999999999</v>
      </c>
      <c r="J172" s="38">
        <f t="shared" si="6"/>
        <v>-6.8620980000000005E-3</v>
      </c>
      <c r="K172" s="42">
        <f t="shared" si="7"/>
        <v>1.0253760089999999E-2</v>
      </c>
      <c r="L172" s="40">
        <f t="shared" si="8"/>
        <v>-7.4573960000000024E-3</v>
      </c>
    </row>
    <row r="173" spans="1:12" x14ac:dyDescent="0.2">
      <c r="A173" s="2">
        <v>42308</v>
      </c>
      <c r="B173" s="9">
        <v>1.4656910000000001</v>
      </c>
      <c r="C173" s="9">
        <v>2.0574271999999998</v>
      </c>
      <c r="D173" s="9">
        <v>1.0325591999999999</v>
      </c>
      <c r="E173" s="9">
        <v>0.12763063999999999</v>
      </c>
      <c r="F173" s="9">
        <v>1.0669989011740224</v>
      </c>
      <c r="G173" s="9">
        <v>1.5106366334405343</v>
      </c>
      <c r="H173" s="9">
        <v>-3.5975657000000001</v>
      </c>
      <c r="I173" s="9">
        <v>-2.1623272999999998</v>
      </c>
      <c r="J173" s="38">
        <f t="shared" si="6"/>
        <v>-5.9173619999999972E-3</v>
      </c>
      <c r="K173" s="42">
        <f t="shared" si="7"/>
        <v>9.0492855999999983E-3</v>
      </c>
      <c r="L173" s="40">
        <f t="shared" si="8"/>
        <v>-1.4352384000000003E-2</v>
      </c>
    </row>
    <row r="174" spans="1:12" x14ac:dyDescent="0.2">
      <c r="A174" s="2">
        <v>42338</v>
      </c>
      <c r="B174" s="9">
        <v>1.6430899999999999</v>
      </c>
      <c r="C174" s="9">
        <v>2.2596402000000002</v>
      </c>
      <c r="D174" s="9">
        <v>1.2728812</v>
      </c>
      <c r="E174" s="9">
        <v>0.43631284999999997</v>
      </c>
      <c r="F174" s="9">
        <v>1.0669989011740224</v>
      </c>
      <c r="G174" s="9">
        <v>1.5106366334405343</v>
      </c>
      <c r="H174" s="9">
        <v>-3.5975660999999999</v>
      </c>
      <c r="I174" s="9">
        <v>-2.1623272999999998</v>
      </c>
      <c r="J174" s="38">
        <f t="shared" si="6"/>
        <v>-6.1655020000000024E-3</v>
      </c>
      <c r="K174" s="42">
        <f t="shared" si="7"/>
        <v>8.3656835000000002E-3</v>
      </c>
      <c r="L174" s="40">
        <f t="shared" si="8"/>
        <v>-1.4352388000000001E-2</v>
      </c>
    </row>
    <row r="175" spans="1:12" x14ac:dyDescent="0.2">
      <c r="A175" s="2">
        <v>42369</v>
      </c>
      <c r="B175" s="9">
        <v>1.4619453</v>
      </c>
      <c r="C175" s="9">
        <v>2.2350224999999999</v>
      </c>
      <c r="D175" s="9">
        <v>1.5139427999999999</v>
      </c>
      <c r="E175" s="9">
        <v>0.63872445</v>
      </c>
      <c r="F175" s="9">
        <v>0.84006831927320624</v>
      </c>
      <c r="G175" s="9">
        <v>1.4612050943554704</v>
      </c>
      <c r="H175" s="9">
        <v>-3.5975657000000001</v>
      </c>
      <c r="I175" s="9">
        <v>-2.1623272999999998</v>
      </c>
      <c r="J175" s="38">
        <f t="shared" si="6"/>
        <v>-7.7307719999999995E-3</v>
      </c>
      <c r="K175" s="42">
        <f t="shared" si="7"/>
        <v>8.7521834999999999E-3</v>
      </c>
      <c r="L175" s="40">
        <f t="shared" si="8"/>
        <v>-1.4352384000000003E-2</v>
      </c>
    </row>
    <row r="176" spans="1:12" x14ac:dyDescent="0.2">
      <c r="A176" s="2">
        <v>42400</v>
      </c>
      <c r="B176" s="9">
        <v>1.2667892999999999</v>
      </c>
      <c r="C176" s="9">
        <v>2.0801894999999999</v>
      </c>
      <c r="D176" s="9">
        <v>1.9184595</v>
      </c>
      <c r="E176" s="9">
        <v>1.2374961</v>
      </c>
      <c r="F176" s="9">
        <v>0.84006831927320624</v>
      </c>
      <c r="G176" s="9">
        <v>1.4612050943554704</v>
      </c>
      <c r="H176" s="9">
        <v>-3.7313480000000001</v>
      </c>
      <c r="I176" s="9">
        <v>-2.2458247999999998</v>
      </c>
      <c r="J176" s="38">
        <f t="shared" si="6"/>
        <v>-8.1340019999999996E-3</v>
      </c>
      <c r="K176" s="42">
        <f t="shared" si="7"/>
        <v>6.8096340000000002E-3</v>
      </c>
      <c r="L176" s="40">
        <f t="shared" si="8"/>
        <v>-1.4855232000000003E-2</v>
      </c>
    </row>
    <row r="177" spans="1:12" x14ac:dyDescent="0.2">
      <c r="A177" s="2">
        <v>42429</v>
      </c>
      <c r="B177" s="9">
        <v>1.1193949999999999</v>
      </c>
      <c r="C177" s="9">
        <v>1.7715301999999999</v>
      </c>
      <c r="D177" s="9">
        <v>1.4342651</v>
      </c>
      <c r="E177" s="9">
        <v>0.84728086000000002</v>
      </c>
      <c r="F177" s="9">
        <v>0.84006831927320624</v>
      </c>
      <c r="G177" s="9">
        <v>1.4612050943554704</v>
      </c>
      <c r="H177" s="9">
        <v>-3.7313475999999999</v>
      </c>
      <c r="I177" s="9">
        <v>-2.2458247999999998</v>
      </c>
      <c r="J177" s="38">
        <f t="shared" si="6"/>
        <v>-6.5213520000000002E-3</v>
      </c>
      <c r="K177" s="42">
        <f t="shared" si="7"/>
        <v>5.8698423999999994E-3</v>
      </c>
      <c r="L177" s="40">
        <f t="shared" si="8"/>
        <v>-1.4855228E-2</v>
      </c>
    </row>
    <row r="178" spans="1:12" x14ac:dyDescent="0.2">
      <c r="A178" s="2">
        <v>42460</v>
      </c>
      <c r="B178" s="9">
        <v>1.2740819999999999</v>
      </c>
      <c r="C178" s="9">
        <v>1.8842863999999999</v>
      </c>
      <c r="D178" s="9">
        <v>1.268837</v>
      </c>
      <c r="E178" s="9">
        <v>0.89162755000000005</v>
      </c>
      <c r="F178" s="9">
        <v>1.2034708540755483</v>
      </c>
      <c r="G178" s="9">
        <v>1.4086235750514977</v>
      </c>
      <c r="H178" s="9">
        <v>-3.7313475999999999</v>
      </c>
      <c r="I178" s="9">
        <v>-2.2458247999999998</v>
      </c>
      <c r="J178" s="38">
        <f t="shared" si="6"/>
        <v>-6.102044E-3</v>
      </c>
      <c r="K178" s="42">
        <f t="shared" si="7"/>
        <v>3.7720944999999994E-3</v>
      </c>
      <c r="L178" s="40">
        <f t="shared" si="8"/>
        <v>-1.4855228E-2</v>
      </c>
    </row>
    <row r="179" spans="1:12" x14ac:dyDescent="0.2">
      <c r="A179" s="2">
        <v>42490</v>
      </c>
      <c r="B179" s="9">
        <v>1.3411381</v>
      </c>
      <c r="C179" s="9">
        <v>1.7981809</v>
      </c>
      <c r="D179" s="9">
        <v>1.669308</v>
      </c>
      <c r="E179" s="9">
        <v>1.1726308999999999</v>
      </c>
      <c r="F179" s="9">
        <v>1.2034708540755483</v>
      </c>
      <c r="G179" s="9">
        <v>1.4086235750514977</v>
      </c>
      <c r="H179" s="9">
        <v>-3.5575720999999998</v>
      </c>
      <c r="I179" s="9">
        <v>-2.1479824000000001</v>
      </c>
      <c r="J179" s="38">
        <f t="shared" si="6"/>
        <v>-4.5704279999999996E-3</v>
      </c>
      <c r="K179" s="42">
        <f t="shared" si="7"/>
        <v>4.9667710000000009E-3</v>
      </c>
      <c r="L179" s="40">
        <f t="shared" si="8"/>
        <v>-1.4095896999999998E-2</v>
      </c>
    </row>
    <row r="180" spans="1:12" x14ac:dyDescent="0.2">
      <c r="A180" s="2">
        <v>42521</v>
      </c>
      <c r="B180" s="9">
        <v>1.3520763</v>
      </c>
      <c r="C180" s="9">
        <v>1.8031428</v>
      </c>
      <c r="D180" s="9">
        <v>1.5835330000000001</v>
      </c>
      <c r="E180" s="9">
        <v>1.0784731000000001</v>
      </c>
      <c r="F180" s="9">
        <v>1.2034708540755483</v>
      </c>
      <c r="G180" s="9">
        <v>1.4086235750514977</v>
      </c>
      <c r="H180" s="9">
        <v>-3.5575720999999998</v>
      </c>
      <c r="I180" s="9">
        <v>-2.1479824000000001</v>
      </c>
      <c r="J180" s="38">
        <f t="shared" si="6"/>
        <v>-4.5106650000000005E-3</v>
      </c>
      <c r="K180" s="42">
        <f t="shared" si="7"/>
        <v>5.0505990000000002E-3</v>
      </c>
      <c r="L180" s="40">
        <f t="shared" si="8"/>
        <v>-1.4095896999999998E-2</v>
      </c>
    </row>
    <row r="181" spans="1:12" x14ac:dyDescent="0.2">
      <c r="A181" s="2">
        <v>42551</v>
      </c>
      <c r="B181" s="9">
        <v>1.1722136999999999</v>
      </c>
      <c r="C181" s="9">
        <v>1.6408225000000001</v>
      </c>
      <c r="D181" s="9">
        <v>1.4195606999999999</v>
      </c>
      <c r="E181" s="9">
        <v>1.0792888</v>
      </c>
      <c r="F181" s="9">
        <v>1.1486671641109056</v>
      </c>
      <c r="G181" s="9">
        <v>1.3559868538853084</v>
      </c>
      <c r="H181" s="9">
        <v>-3.557572</v>
      </c>
      <c r="I181" s="9">
        <v>-2.1479824000000001</v>
      </c>
      <c r="J181" s="38">
        <f t="shared" si="6"/>
        <v>-4.6860880000000014E-3</v>
      </c>
      <c r="K181" s="42">
        <f t="shared" si="7"/>
        <v>3.4027189999999985E-3</v>
      </c>
      <c r="L181" s="40">
        <f t="shared" si="8"/>
        <v>-1.4095895999999998E-2</v>
      </c>
    </row>
    <row r="182" spans="1:12" x14ac:dyDescent="0.2">
      <c r="A182" s="2">
        <v>42582</v>
      </c>
      <c r="B182" s="9">
        <v>1.05036</v>
      </c>
      <c r="C182" s="9">
        <v>1.49491</v>
      </c>
      <c r="D182" s="9">
        <v>1.1014980000000001</v>
      </c>
      <c r="E182" s="9">
        <v>0.86836590000000002</v>
      </c>
      <c r="F182" s="9">
        <v>1.1486671641109056</v>
      </c>
      <c r="G182" s="9">
        <v>1.3559868538853084</v>
      </c>
      <c r="H182" s="9">
        <v>-3.2250836000000001</v>
      </c>
      <c r="I182" s="9">
        <v>-2.1079533000000001</v>
      </c>
      <c r="J182" s="38">
        <f t="shared" si="6"/>
        <v>-4.4454999999999998E-3</v>
      </c>
      <c r="K182" s="42">
        <f t="shared" si="7"/>
        <v>2.3313210000000008E-3</v>
      </c>
      <c r="L182" s="40">
        <f t="shared" si="8"/>
        <v>-1.1171302999999999E-2</v>
      </c>
    </row>
    <row r="183" spans="1:12" x14ac:dyDescent="0.2">
      <c r="A183" s="2">
        <v>42613</v>
      </c>
      <c r="B183" s="9">
        <v>1.0434566999999999</v>
      </c>
      <c r="C183" s="9">
        <v>1.5590824000000001</v>
      </c>
      <c r="D183" s="9">
        <v>1.1801728</v>
      </c>
      <c r="E183" s="9">
        <v>1.0553093</v>
      </c>
      <c r="F183" s="9">
        <v>1.1486671641109056</v>
      </c>
      <c r="G183" s="9">
        <v>1.3559868538853084</v>
      </c>
      <c r="H183" s="9">
        <v>-3.2250836000000001</v>
      </c>
      <c r="I183" s="9">
        <v>-2.1079533000000001</v>
      </c>
      <c r="J183" s="38">
        <f t="shared" si="6"/>
        <v>-5.1562570000000018E-3</v>
      </c>
      <c r="K183" s="42">
        <f t="shared" si="7"/>
        <v>1.2486350000000001E-3</v>
      </c>
      <c r="L183" s="40">
        <f t="shared" si="8"/>
        <v>-1.1171302999999999E-2</v>
      </c>
    </row>
    <row r="184" spans="1:12" x14ac:dyDescent="0.2">
      <c r="A184" s="2">
        <v>42643</v>
      </c>
      <c r="B184" s="9">
        <v>1.0860000999999999</v>
      </c>
      <c r="C184" s="9">
        <v>1.6267</v>
      </c>
      <c r="D184" s="9">
        <v>1.4173249999999999</v>
      </c>
      <c r="E184" s="9">
        <v>1.5486488</v>
      </c>
      <c r="F184" s="9">
        <v>1.2998701645481134</v>
      </c>
      <c r="G184" s="9">
        <v>1.4104269786475561</v>
      </c>
      <c r="H184" s="9">
        <v>-3.2250836000000001</v>
      </c>
      <c r="I184" s="9">
        <v>-2.1079533000000001</v>
      </c>
      <c r="J184" s="38">
        <f t="shared" si="6"/>
        <v>-5.4069990000000009E-3</v>
      </c>
      <c r="K184" s="42">
        <f t="shared" si="7"/>
        <v>-1.3132380000000011E-3</v>
      </c>
      <c r="L184" s="40">
        <f t="shared" si="8"/>
        <v>-1.1171302999999999E-2</v>
      </c>
    </row>
    <row r="185" spans="1:12" x14ac:dyDescent="0.2">
      <c r="A185" s="2">
        <v>42674</v>
      </c>
      <c r="B185" s="9">
        <v>1.1630714</v>
      </c>
      <c r="C185" s="9">
        <v>1.7560522999999999</v>
      </c>
      <c r="D185" s="9">
        <v>1.4937222999999999</v>
      </c>
      <c r="E185" s="9">
        <v>1.6859157</v>
      </c>
      <c r="F185" s="9">
        <v>1.2998701645481134</v>
      </c>
      <c r="G185" s="9">
        <v>1.4104269786475561</v>
      </c>
      <c r="H185" s="9">
        <v>-1.8765354000000001</v>
      </c>
      <c r="I185" s="9">
        <v>-1.9310843</v>
      </c>
      <c r="J185" s="38">
        <f t="shared" si="6"/>
        <v>-5.9298089999999994E-3</v>
      </c>
      <c r="K185" s="42">
        <f t="shared" si="7"/>
        <v>-1.9219340000000008E-3</v>
      </c>
      <c r="L185" s="40">
        <f t="shared" si="8"/>
        <v>5.4548899999999905E-4</v>
      </c>
    </row>
    <row r="186" spans="1:12" x14ac:dyDescent="0.2">
      <c r="A186" s="2">
        <v>42704</v>
      </c>
      <c r="B186" s="9">
        <v>1.4266665000000001</v>
      </c>
      <c r="C186" s="9">
        <v>2.1416097000000001</v>
      </c>
      <c r="D186" s="9">
        <v>1.2568634000000001</v>
      </c>
      <c r="E186" s="9">
        <v>1.6843360000000001</v>
      </c>
      <c r="F186" s="9">
        <v>1.2998701645481134</v>
      </c>
      <c r="G186" s="9">
        <v>1.4104269786475561</v>
      </c>
      <c r="H186" s="9">
        <v>-1.8765354000000001</v>
      </c>
      <c r="I186" s="9">
        <v>-1.9310843</v>
      </c>
      <c r="J186" s="38">
        <f t="shared" si="6"/>
        <v>-7.1494319999999998E-3</v>
      </c>
      <c r="K186" s="42">
        <f t="shared" si="7"/>
        <v>-4.2747259999999995E-3</v>
      </c>
      <c r="L186" s="40">
        <f t="shared" si="8"/>
        <v>5.4548899999999905E-4</v>
      </c>
    </row>
    <row r="187" spans="1:12" x14ac:dyDescent="0.2">
      <c r="A187" s="2">
        <v>42735</v>
      </c>
      <c r="B187" s="9">
        <v>1.7368094000000001</v>
      </c>
      <c r="C187" s="9">
        <v>2.4906619999999999</v>
      </c>
      <c r="D187" s="9">
        <v>1.4913645</v>
      </c>
      <c r="E187" s="9">
        <v>2.0508012999999998</v>
      </c>
      <c r="F187" s="9">
        <v>1.3919057929099055</v>
      </c>
      <c r="G187" s="9">
        <v>1.4707800478430606</v>
      </c>
      <c r="H187" s="9">
        <v>-1.8765357</v>
      </c>
      <c r="I187" s="9">
        <v>-1.9310843</v>
      </c>
      <c r="J187" s="38">
        <f t="shared" si="6"/>
        <v>-7.5385259999999985E-3</v>
      </c>
      <c r="K187" s="42">
        <f t="shared" si="7"/>
        <v>-5.5943679999999989E-3</v>
      </c>
      <c r="L187" s="40">
        <f t="shared" si="8"/>
        <v>5.4548599999999943E-4</v>
      </c>
    </row>
    <row r="188" spans="1:12" x14ac:dyDescent="0.2">
      <c r="A188" s="2">
        <v>42766</v>
      </c>
      <c r="B188" s="9">
        <v>1.7198598</v>
      </c>
      <c r="C188" s="9">
        <v>2.4220945999999999</v>
      </c>
      <c r="D188" s="9">
        <v>2.0392225000000002</v>
      </c>
      <c r="E188" s="9">
        <v>2.5103970000000002</v>
      </c>
      <c r="F188" s="9">
        <v>1.3919057929099055</v>
      </c>
      <c r="G188" s="9">
        <v>1.4707800478430606</v>
      </c>
      <c r="H188" s="9">
        <v>-2.205937</v>
      </c>
      <c r="I188" s="9">
        <v>-1.7730836000000001</v>
      </c>
      <c r="J188" s="38">
        <f t="shared" si="6"/>
        <v>-7.0223479999999986E-3</v>
      </c>
      <c r="K188" s="42">
        <f t="shared" si="7"/>
        <v>-4.7117450000000007E-3</v>
      </c>
      <c r="L188" s="40">
        <f t="shared" si="8"/>
        <v>-4.3285339999999993E-3</v>
      </c>
    </row>
    <row r="189" spans="1:12" x14ac:dyDescent="0.2">
      <c r="A189" s="2">
        <v>42794</v>
      </c>
      <c r="B189" s="9">
        <v>1.7038947</v>
      </c>
      <c r="C189" s="9">
        <v>2.4171421999999998</v>
      </c>
      <c r="D189" s="9">
        <v>2.0424131999999999</v>
      </c>
      <c r="E189" s="9">
        <v>2.8103604</v>
      </c>
      <c r="F189" s="9">
        <v>1.3919057929099055</v>
      </c>
      <c r="G189" s="9">
        <v>1.4707800478430606</v>
      </c>
      <c r="H189" s="9">
        <v>-2.205937</v>
      </c>
      <c r="I189" s="9">
        <v>-1.7730836000000001</v>
      </c>
      <c r="J189" s="38">
        <f t="shared" si="6"/>
        <v>-7.1324749999999984E-3</v>
      </c>
      <c r="K189" s="42">
        <f t="shared" si="7"/>
        <v>-7.6794720000000006E-3</v>
      </c>
      <c r="L189" s="40">
        <f t="shared" si="8"/>
        <v>-4.3285339999999993E-3</v>
      </c>
    </row>
    <row r="190" spans="1:12" x14ac:dyDescent="0.2">
      <c r="A190" s="2">
        <v>42825</v>
      </c>
      <c r="B190" s="9">
        <v>1.7144173</v>
      </c>
      <c r="C190" s="9">
        <v>2.4820304000000002</v>
      </c>
      <c r="D190" s="9">
        <v>1.5661788999999999</v>
      </c>
      <c r="E190" s="9">
        <v>2.4411942999999998</v>
      </c>
      <c r="F190" s="9">
        <v>1.4993368920869787</v>
      </c>
      <c r="G190" s="9">
        <v>1.4561325680324313</v>
      </c>
      <c r="H190" s="9">
        <v>-2.2059367000000001</v>
      </c>
      <c r="I190" s="9">
        <v>-1.7730836000000001</v>
      </c>
      <c r="J190" s="38">
        <f t="shared" si="6"/>
        <v>-7.6761310000000018E-3</v>
      </c>
      <c r="K190" s="42">
        <f t="shared" si="7"/>
        <v>-8.7501539999999996E-3</v>
      </c>
      <c r="L190" s="40">
        <f t="shared" si="8"/>
        <v>-4.328531E-3</v>
      </c>
    </row>
    <row r="191" spans="1:12" x14ac:dyDescent="0.2">
      <c r="A191" s="2">
        <v>42855</v>
      </c>
      <c r="B191" s="9">
        <v>1.5382682999999999</v>
      </c>
      <c r="C191" s="9">
        <v>2.2897422000000001</v>
      </c>
      <c r="D191" s="9">
        <v>1.7201016</v>
      </c>
      <c r="E191" s="9">
        <v>2.1762161</v>
      </c>
      <c r="F191" s="9">
        <v>1.4993368920869787</v>
      </c>
      <c r="G191" s="9">
        <v>1.4561325680324313</v>
      </c>
      <c r="H191" s="9">
        <v>-2.6811015999999999</v>
      </c>
      <c r="I191" s="9">
        <v>-2.1388326000000002</v>
      </c>
      <c r="J191" s="38">
        <f t="shared" si="6"/>
        <v>-7.5147390000000012E-3</v>
      </c>
      <c r="K191" s="42">
        <f t="shared" si="7"/>
        <v>-4.561145E-3</v>
      </c>
      <c r="L191" s="40">
        <f t="shared" si="8"/>
        <v>-5.4226899999999965E-3</v>
      </c>
    </row>
    <row r="192" spans="1:12" x14ac:dyDescent="0.2">
      <c r="A192" s="2">
        <v>42886</v>
      </c>
      <c r="B192" s="9">
        <v>1.5202454000000001</v>
      </c>
      <c r="C192" s="9">
        <v>2.2988183000000002</v>
      </c>
      <c r="D192" s="9">
        <v>1.2470734000000001</v>
      </c>
      <c r="E192" s="9">
        <v>1.8563422000000001</v>
      </c>
      <c r="F192" s="9">
        <v>1.4993368920869787</v>
      </c>
      <c r="G192" s="9">
        <v>1.4561325680324313</v>
      </c>
      <c r="H192" s="9">
        <v>-2.6811015999999999</v>
      </c>
      <c r="I192" s="9">
        <v>-2.1388326000000002</v>
      </c>
      <c r="J192" s="38">
        <f t="shared" si="6"/>
        <v>-7.7857290000000016E-3</v>
      </c>
      <c r="K192" s="42">
        <f t="shared" si="7"/>
        <v>-6.0926879999999997E-3</v>
      </c>
      <c r="L192" s="40">
        <f t="shared" si="8"/>
        <v>-5.4226899999999965E-3</v>
      </c>
    </row>
    <row r="193" spans="1:12" x14ac:dyDescent="0.2">
      <c r="A193" s="2">
        <v>42916</v>
      </c>
      <c r="B193" s="9">
        <v>1.4887364000000001</v>
      </c>
      <c r="C193" s="9">
        <v>2.1775139999999999</v>
      </c>
      <c r="D193" s="9">
        <v>1.0108866999999999</v>
      </c>
      <c r="E193" s="9">
        <v>1.6405651999999999</v>
      </c>
      <c r="F193" s="9">
        <v>1.7060822957267507</v>
      </c>
      <c r="G193" s="9">
        <v>1.4933659024217603</v>
      </c>
      <c r="H193" s="9">
        <v>-2.6811015999999999</v>
      </c>
      <c r="I193" s="9">
        <v>-2.1388326000000002</v>
      </c>
      <c r="J193" s="38">
        <f t="shared" si="6"/>
        <v>-6.8877759999999991E-3</v>
      </c>
      <c r="K193" s="42">
        <f t="shared" si="7"/>
        <v>-6.2967850000000001E-3</v>
      </c>
      <c r="L193" s="40">
        <f t="shared" si="8"/>
        <v>-5.4226899999999965E-3</v>
      </c>
    </row>
    <row r="194" spans="1:12" x14ac:dyDescent="0.2">
      <c r="A194" s="2">
        <v>42947</v>
      </c>
      <c r="B194" s="9">
        <v>1.8872948000000001</v>
      </c>
      <c r="C194" s="9">
        <v>2.3151503</v>
      </c>
      <c r="D194" s="9">
        <v>1.2451388000000001</v>
      </c>
      <c r="E194" s="9">
        <v>1.7251002</v>
      </c>
      <c r="F194" s="9">
        <v>1.7060822957267507</v>
      </c>
      <c r="G194" s="9">
        <v>1.4933659024217603</v>
      </c>
      <c r="H194" s="9">
        <v>-3.3570647</v>
      </c>
      <c r="I194" s="9">
        <v>-1.7420964000000001</v>
      </c>
      <c r="J194" s="38">
        <f t="shared" si="6"/>
        <v>-4.2785549999999999E-3</v>
      </c>
      <c r="K194" s="42">
        <f t="shared" si="7"/>
        <v>-4.7996139999999989E-3</v>
      </c>
      <c r="L194" s="40">
        <f t="shared" si="8"/>
        <v>-1.6149682999999998E-2</v>
      </c>
    </row>
    <row r="195" spans="1:12" x14ac:dyDescent="0.2">
      <c r="A195" s="2">
        <v>42978</v>
      </c>
      <c r="B195" s="9">
        <v>1.8926913999999999</v>
      </c>
      <c r="C195" s="9">
        <v>2.2135563</v>
      </c>
      <c r="D195" s="9">
        <v>1.3996848</v>
      </c>
      <c r="E195" s="9">
        <v>1.9281279</v>
      </c>
      <c r="F195" s="9">
        <v>1.7060822957267507</v>
      </c>
      <c r="G195" s="9">
        <v>1.4933659024217603</v>
      </c>
      <c r="H195" s="9">
        <v>-3.3570641999999999</v>
      </c>
      <c r="I195" s="9">
        <v>-1.7420964000000001</v>
      </c>
      <c r="J195" s="38">
        <f t="shared" si="6"/>
        <v>-3.2086490000000014E-3</v>
      </c>
      <c r="K195" s="42">
        <f t="shared" si="7"/>
        <v>-5.2844310000000009E-3</v>
      </c>
      <c r="L195" s="40">
        <f t="shared" si="8"/>
        <v>-1.6149677999999997E-2</v>
      </c>
    </row>
    <row r="196" spans="1:12" x14ac:dyDescent="0.2">
      <c r="A196" s="2">
        <v>43008</v>
      </c>
      <c r="B196" s="9">
        <v>2.0370249999999999</v>
      </c>
      <c r="C196" s="9">
        <v>2.1891904000000002</v>
      </c>
      <c r="D196" s="9">
        <v>1.4751475999999999</v>
      </c>
      <c r="E196" s="9">
        <v>2.1805629999999998</v>
      </c>
      <c r="F196" s="9">
        <v>1.5781391059354122</v>
      </c>
      <c r="G196" s="9">
        <v>1.5052874143413628</v>
      </c>
      <c r="H196" s="9">
        <v>-3.3570641999999999</v>
      </c>
      <c r="I196" s="9">
        <v>-1.7420964000000001</v>
      </c>
      <c r="J196" s="38">
        <f t="shared" ref="J196:J259" si="9">(B196-C196)/100</f>
        <v>-1.5216540000000034E-3</v>
      </c>
      <c r="K196" s="42">
        <f t="shared" ref="K196:K259" si="10">(D196-E196)/100</f>
        <v>-7.0541539999999991E-3</v>
      </c>
      <c r="L196" s="40">
        <f t="shared" ref="L196:L259" si="11">(H196-I196)/100</f>
        <v>-1.6149677999999997E-2</v>
      </c>
    </row>
    <row r="197" spans="1:12" x14ac:dyDescent="0.2">
      <c r="A197" s="2">
        <v>43039</v>
      </c>
      <c r="B197" s="9">
        <v>2.0624769999999999</v>
      </c>
      <c r="C197" s="9">
        <v>2.3549047000000001</v>
      </c>
      <c r="D197" s="9">
        <v>1.3942637</v>
      </c>
      <c r="E197" s="9">
        <v>2.0207655</v>
      </c>
      <c r="F197" s="9">
        <v>1.5781391059354122</v>
      </c>
      <c r="G197" s="9">
        <v>1.5052874143413628</v>
      </c>
      <c r="H197" s="9">
        <v>-2.9898609999999999</v>
      </c>
      <c r="I197" s="9">
        <v>-1.8454976000000001</v>
      </c>
      <c r="J197" s="38">
        <f t="shared" si="9"/>
        <v>-2.9242770000000016E-3</v>
      </c>
      <c r="K197" s="42">
        <f t="shared" si="10"/>
        <v>-6.2650179999999998E-3</v>
      </c>
      <c r="L197" s="40">
        <f t="shared" si="11"/>
        <v>-1.1443633999999998E-2</v>
      </c>
    </row>
    <row r="198" spans="1:12" x14ac:dyDescent="0.2">
      <c r="A198" s="2">
        <v>43069</v>
      </c>
      <c r="B198" s="9">
        <v>1.9240761</v>
      </c>
      <c r="C198" s="9">
        <v>2.3523475999999999</v>
      </c>
      <c r="D198" s="9">
        <v>2.1722329</v>
      </c>
      <c r="E198" s="9">
        <v>2.1724923</v>
      </c>
      <c r="F198" s="9">
        <v>1.5781391059354122</v>
      </c>
      <c r="G198" s="9">
        <v>1.5052874143413628</v>
      </c>
      <c r="H198" s="9">
        <v>-2.9898608000000002</v>
      </c>
      <c r="I198" s="9">
        <v>-1.8454976000000001</v>
      </c>
      <c r="J198" s="38">
        <f t="shared" si="9"/>
        <v>-4.2827149999999994E-3</v>
      </c>
      <c r="K198" s="42">
        <f t="shared" si="10"/>
        <v>-2.5940000000002072E-6</v>
      </c>
      <c r="L198" s="40">
        <f t="shared" si="11"/>
        <v>-1.1443632000000002E-2</v>
      </c>
    </row>
    <row r="199" spans="1:12" x14ac:dyDescent="0.2">
      <c r="A199" s="2">
        <v>43100</v>
      </c>
      <c r="B199" s="9">
        <v>1.915395</v>
      </c>
      <c r="C199" s="9">
        <v>2.4049249000000001</v>
      </c>
      <c r="D199" s="9">
        <v>1.9334916</v>
      </c>
      <c r="E199" s="9">
        <v>2.1299307000000001</v>
      </c>
      <c r="F199" s="9">
        <v>1.5707515030455497</v>
      </c>
      <c r="G199" s="9">
        <v>1.5866248434432455</v>
      </c>
      <c r="H199" s="9">
        <v>-2.9898612</v>
      </c>
      <c r="I199" s="9">
        <v>-1.8454976000000001</v>
      </c>
      <c r="J199" s="38">
        <f t="shared" si="9"/>
        <v>-4.8952990000000023E-3</v>
      </c>
      <c r="K199" s="42">
        <f t="shared" si="10"/>
        <v>-1.9643910000000011E-3</v>
      </c>
      <c r="L199" s="40">
        <f t="shared" si="11"/>
        <v>-1.1443636E-2</v>
      </c>
    </row>
    <row r="200" spans="1:12" x14ac:dyDescent="0.2">
      <c r="A200" s="2">
        <v>43131</v>
      </c>
      <c r="B200" s="9">
        <v>2.1852672000000002</v>
      </c>
      <c r="C200" s="9">
        <v>2.5688282999999998</v>
      </c>
      <c r="D200" s="9">
        <v>1.6910080000000001</v>
      </c>
      <c r="E200" s="9">
        <v>2.1513182999999998</v>
      </c>
      <c r="F200" s="9">
        <v>1.5707515030455497</v>
      </c>
      <c r="G200" s="9">
        <v>1.5866248434432455</v>
      </c>
      <c r="H200" s="9">
        <v>-2.7808839999999999</v>
      </c>
      <c r="I200" s="9">
        <v>-1.9052807</v>
      </c>
      <c r="J200" s="38">
        <f t="shared" si="9"/>
        <v>-3.8356109999999966E-3</v>
      </c>
      <c r="K200" s="42">
        <f t="shared" si="10"/>
        <v>-4.6031029999999973E-3</v>
      </c>
      <c r="L200" s="40">
        <f t="shared" si="11"/>
        <v>-8.7560329999999981E-3</v>
      </c>
    </row>
    <row r="201" spans="1:12" x14ac:dyDescent="0.2">
      <c r="A201" s="2">
        <v>43159</v>
      </c>
      <c r="B201" s="9">
        <v>2.3275260000000002</v>
      </c>
      <c r="C201" s="9">
        <v>2.8585207000000001</v>
      </c>
      <c r="D201" s="9">
        <v>2.0785315</v>
      </c>
      <c r="E201" s="9">
        <v>2.2634734999999999</v>
      </c>
      <c r="F201" s="9">
        <v>1.5707515030455497</v>
      </c>
      <c r="G201" s="9">
        <v>1.5866248434432455</v>
      </c>
      <c r="H201" s="9">
        <v>-2.7808839999999999</v>
      </c>
      <c r="I201" s="9">
        <v>-1.9052807</v>
      </c>
      <c r="J201" s="38">
        <f t="shared" si="9"/>
        <v>-5.3099469999999989E-3</v>
      </c>
      <c r="K201" s="42">
        <f t="shared" si="10"/>
        <v>-1.8494199999999994E-3</v>
      </c>
      <c r="L201" s="40">
        <f t="shared" si="11"/>
        <v>-8.7560329999999981E-3</v>
      </c>
    </row>
    <row r="202" spans="1:12" x14ac:dyDescent="0.2">
      <c r="A202" s="2">
        <v>43190</v>
      </c>
      <c r="B202" s="9">
        <v>2.1899044999999999</v>
      </c>
      <c r="C202" s="9">
        <v>2.8420953999999998</v>
      </c>
      <c r="D202" s="9">
        <v>2.3130293000000002</v>
      </c>
      <c r="E202" s="9">
        <v>2.3309470000000001</v>
      </c>
      <c r="F202" s="9">
        <v>1.5575062886913322</v>
      </c>
      <c r="G202" s="9">
        <v>1.6297550286124185</v>
      </c>
      <c r="H202" s="9">
        <v>-2.7808839999999999</v>
      </c>
      <c r="I202" s="9">
        <v>-1.9052807</v>
      </c>
      <c r="J202" s="38">
        <f t="shared" si="9"/>
        <v>-6.5219089999999993E-3</v>
      </c>
      <c r="K202" s="42">
        <f t="shared" si="10"/>
        <v>-1.7917699999999925E-4</v>
      </c>
      <c r="L202" s="40">
        <f t="shared" si="11"/>
        <v>-8.7560329999999981E-3</v>
      </c>
    </row>
    <row r="203" spans="1:12" x14ac:dyDescent="0.2">
      <c r="A203" s="2">
        <v>43220</v>
      </c>
      <c r="B203" s="9">
        <v>2.2479809999999998</v>
      </c>
      <c r="C203" s="9">
        <v>2.8657143</v>
      </c>
      <c r="D203" s="9">
        <v>2.0753235999999999</v>
      </c>
      <c r="E203" s="9">
        <v>2.4710030000000001</v>
      </c>
      <c r="F203" s="9">
        <v>1.5575062886913322</v>
      </c>
      <c r="G203" s="9">
        <v>1.6297550286124185</v>
      </c>
      <c r="H203" s="9">
        <v>-2.5824218000000001</v>
      </c>
      <c r="I203" s="9">
        <v>-1.8410067999999999</v>
      </c>
      <c r="J203" s="38">
        <f t="shared" si="9"/>
        <v>-6.1773330000000027E-3</v>
      </c>
      <c r="K203" s="42">
        <f t="shared" si="10"/>
        <v>-3.9567940000000013E-3</v>
      </c>
      <c r="L203" s="40">
        <f t="shared" si="11"/>
        <v>-7.4141500000000013E-3</v>
      </c>
    </row>
    <row r="204" spans="1:12" x14ac:dyDescent="0.2">
      <c r="A204" s="2">
        <v>43251</v>
      </c>
      <c r="B204" s="9">
        <v>2.381491</v>
      </c>
      <c r="C204" s="9">
        <v>2.9764140000000001</v>
      </c>
      <c r="D204" s="9">
        <v>2.3094682999999998</v>
      </c>
      <c r="E204" s="9">
        <v>2.7819283000000001</v>
      </c>
      <c r="F204" s="9">
        <v>1.5575062886913322</v>
      </c>
      <c r="G204" s="9">
        <v>1.6297550286124185</v>
      </c>
      <c r="H204" s="9">
        <v>-2.5824218000000001</v>
      </c>
      <c r="I204" s="9">
        <v>-1.8410067999999999</v>
      </c>
      <c r="J204" s="38">
        <f t="shared" si="9"/>
        <v>-5.9492300000000007E-3</v>
      </c>
      <c r="K204" s="42">
        <f t="shared" si="10"/>
        <v>-4.7246000000000033E-3</v>
      </c>
      <c r="L204" s="40">
        <f t="shared" si="11"/>
        <v>-7.4141500000000013E-3</v>
      </c>
    </row>
    <row r="205" spans="1:12" x14ac:dyDescent="0.2">
      <c r="A205" s="2">
        <v>43281</v>
      </c>
      <c r="B205" s="9">
        <v>2.2104374999999998</v>
      </c>
      <c r="C205" s="9">
        <v>2.9115186</v>
      </c>
      <c r="D205" s="9">
        <v>2.4634385000000001</v>
      </c>
      <c r="E205" s="9">
        <v>2.8075614</v>
      </c>
      <c r="F205" s="9">
        <v>1.518448844643641</v>
      </c>
      <c r="G205" s="9">
        <v>1.6260030540961452</v>
      </c>
      <c r="H205" s="9">
        <v>-2.5824215000000001</v>
      </c>
      <c r="I205" s="9">
        <v>-1.8410067999999999</v>
      </c>
      <c r="J205" s="38">
        <f t="shared" si="9"/>
        <v>-7.0108110000000013E-3</v>
      </c>
      <c r="K205" s="42">
        <f t="shared" si="10"/>
        <v>-3.4412289999999988E-3</v>
      </c>
      <c r="L205" s="40">
        <f t="shared" si="11"/>
        <v>-7.414147000000002E-3</v>
      </c>
    </row>
    <row r="206" spans="1:12" x14ac:dyDescent="0.2">
      <c r="A206" s="2">
        <v>43312</v>
      </c>
      <c r="B206" s="9">
        <v>2.1869806999999999</v>
      </c>
      <c r="C206" s="9">
        <v>2.88781</v>
      </c>
      <c r="D206" s="9">
        <v>2.7670940000000002</v>
      </c>
      <c r="E206" s="9">
        <v>2.854133</v>
      </c>
      <c r="F206" s="9">
        <v>1.518448844643641</v>
      </c>
      <c r="G206" s="9">
        <v>1.6260030540961452</v>
      </c>
      <c r="H206" s="9">
        <v>-1.7617020000000001</v>
      </c>
      <c r="I206" s="9">
        <v>-2.2852356</v>
      </c>
      <c r="J206" s="38">
        <f t="shared" si="9"/>
        <v>-7.0082930000000014E-3</v>
      </c>
      <c r="K206" s="42">
        <f t="shared" si="10"/>
        <v>-8.7038999999999866E-4</v>
      </c>
      <c r="L206" s="40">
        <f t="shared" si="11"/>
        <v>5.2353359999999993E-3</v>
      </c>
    </row>
    <row r="207" spans="1:12" x14ac:dyDescent="0.2">
      <c r="A207" s="2">
        <v>43343</v>
      </c>
      <c r="B207" s="9">
        <v>2.2994219999999999</v>
      </c>
      <c r="C207" s="9">
        <v>2.8869307000000002</v>
      </c>
      <c r="D207" s="9">
        <v>2.6840443999999999</v>
      </c>
      <c r="E207" s="9">
        <v>2.6429144999999998</v>
      </c>
      <c r="F207" s="9">
        <v>1.518448844643641</v>
      </c>
      <c r="G207" s="9">
        <v>1.6260030540961452</v>
      </c>
      <c r="H207" s="9">
        <v>-1.7617020000000001</v>
      </c>
      <c r="I207" s="9">
        <v>-2.2852356</v>
      </c>
      <c r="J207" s="38">
        <f t="shared" si="9"/>
        <v>-5.8750870000000037E-3</v>
      </c>
      <c r="K207" s="42">
        <f t="shared" si="10"/>
        <v>4.1129900000000055E-4</v>
      </c>
      <c r="L207" s="40">
        <f t="shared" si="11"/>
        <v>5.2353359999999993E-3</v>
      </c>
    </row>
    <row r="208" spans="1:12" x14ac:dyDescent="0.2">
      <c r="A208" s="2">
        <v>43373</v>
      </c>
      <c r="B208" s="9">
        <v>2.3544999999999998</v>
      </c>
      <c r="C208" s="9">
        <v>3.0024842999999999</v>
      </c>
      <c r="D208" s="9">
        <v>2.3718523999999999</v>
      </c>
      <c r="E208" s="9">
        <v>2.3320541000000001</v>
      </c>
      <c r="F208" s="9">
        <v>1.5855152553967335</v>
      </c>
      <c r="G208" s="9">
        <v>1.6044201215837077</v>
      </c>
      <c r="H208" s="9">
        <v>-1.7617020000000001</v>
      </c>
      <c r="I208" s="9">
        <v>-2.2852356</v>
      </c>
      <c r="J208" s="38">
        <f t="shared" si="9"/>
        <v>-6.4798430000000008E-3</v>
      </c>
      <c r="K208" s="42">
        <f t="shared" si="10"/>
        <v>3.9798299999999732E-4</v>
      </c>
      <c r="L208" s="40">
        <f t="shared" si="11"/>
        <v>5.2353359999999993E-3</v>
      </c>
    </row>
    <row r="209" spans="1:12" x14ac:dyDescent="0.2">
      <c r="A209" s="2">
        <v>43404</v>
      </c>
      <c r="B209" s="9">
        <v>2.4924914999999999</v>
      </c>
      <c r="C209" s="9">
        <v>3.1535869999999999</v>
      </c>
      <c r="D209" s="9">
        <v>2.5210102000000001</v>
      </c>
      <c r="E209" s="9">
        <v>2.4920268000000001</v>
      </c>
      <c r="F209" s="9">
        <v>1.5855152553967335</v>
      </c>
      <c r="G209" s="9">
        <v>1.6044201215837077</v>
      </c>
      <c r="H209" s="9">
        <v>-2.8156872000000002</v>
      </c>
      <c r="I209" s="9">
        <v>-2.4594475999999998</v>
      </c>
      <c r="J209" s="38">
        <f t="shared" si="9"/>
        <v>-6.6109550000000008E-3</v>
      </c>
      <c r="K209" s="42">
        <f t="shared" si="10"/>
        <v>2.8983399999999994E-4</v>
      </c>
      <c r="L209" s="40">
        <f t="shared" si="11"/>
        <v>-3.5623960000000033E-3</v>
      </c>
    </row>
    <row r="210" spans="1:12" x14ac:dyDescent="0.2">
      <c r="A210" s="2">
        <v>43434</v>
      </c>
      <c r="B210" s="9">
        <v>2.4151714000000002</v>
      </c>
      <c r="C210" s="9">
        <v>3.1157756000000001</v>
      </c>
      <c r="D210" s="9">
        <v>1.7463911999999999</v>
      </c>
      <c r="E210" s="9">
        <v>2.1473303000000001</v>
      </c>
      <c r="F210" s="9">
        <v>1.5855152553967335</v>
      </c>
      <c r="G210" s="9">
        <v>1.6044201215837077</v>
      </c>
      <c r="H210" s="9">
        <v>-2.8156872000000002</v>
      </c>
      <c r="I210" s="9">
        <v>-2.4594475999999998</v>
      </c>
      <c r="J210" s="38">
        <f t="shared" si="9"/>
        <v>-7.0060419999999988E-3</v>
      </c>
      <c r="K210" s="42">
        <f t="shared" si="10"/>
        <v>-4.0093910000000019E-3</v>
      </c>
      <c r="L210" s="40">
        <f t="shared" si="11"/>
        <v>-3.5623960000000033E-3</v>
      </c>
    </row>
    <row r="211" spans="1:12" x14ac:dyDescent="0.2">
      <c r="A211" s="2">
        <v>43465</v>
      </c>
      <c r="B211" s="9">
        <v>2.0464790000000002</v>
      </c>
      <c r="C211" s="9">
        <v>2.8296994999999998</v>
      </c>
      <c r="D211" s="9">
        <v>1.8968107999999999</v>
      </c>
      <c r="E211" s="9">
        <v>2.0023787</v>
      </c>
      <c r="F211" s="9">
        <v>1.5476920351203709</v>
      </c>
      <c r="G211" s="9">
        <v>1.4620244169180749</v>
      </c>
      <c r="H211" s="9">
        <v>-2.8156873999999998</v>
      </c>
      <c r="I211" s="9">
        <v>-2.4594475999999998</v>
      </c>
      <c r="J211" s="38">
        <f t="shared" si="9"/>
        <v>-7.8322049999999966E-3</v>
      </c>
      <c r="K211" s="42">
        <f t="shared" si="10"/>
        <v>-1.0556790000000006E-3</v>
      </c>
      <c r="L211" s="40">
        <f t="shared" si="11"/>
        <v>-3.562398E-3</v>
      </c>
    </row>
    <row r="212" spans="1:12" x14ac:dyDescent="0.2">
      <c r="A212" s="2">
        <v>43496</v>
      </c>
      <c r="B212" s="9">
        <v>1.9487665999999999</v>
      </c>
      <c r="C212" s="9">
        <v>2.7061996000000001</v>
      </c>
      <c r="D212" s="9">
        <v>1.5117111000000001</v>
      </c>
      <c r="E212" s="9">
        <v>1.4875934</v>
      </c>
      <c r="F212" s="9">
        <v>1.5476920351203709</v>
      </c>
      <c r="G212" s="9">
        <v>1.4620244169180749</v>
      </c>
      <c r="H212" s="9">
        <v>-2.9642398000000001</v>
      </c>
      <c r="I212" s="9">
        <v>-2.1805265</v>
      </c>
      <c r="J212" s="38">
        <f t="shared" si="9"/>
        <v>-7.5743300000000024E-3</v>
      </c>
      <c r="K212" s="42">
        <f t="shared" si="10"/>
        <v>2.411770000000013E-4</v>
      </c>
      <c r="L212" s="40">
        <f t="shared" si="11"/>
        <v>-7.8371330000000013E-3</v>
      </c>
    </row>
    <row r="213" spans="1:12" x14ac:dyDescent="0.2">
      <c r="A213" s="2">
        <v>43524</v>
      </c>
      <c r="B213" s="9">
        <v>1.9088422</v>
      </c>
      <c r="C213" s="9">
        <v>2.6745945999999998</v>
      </c>
      <c r="D213" s="9">
        <v>1.5837024</v>
      </c>
      <c r="E213" s="9">
        <v>1.5188538</v>
      </c>
      <c r="F213" s="9">
        <v>1.5476920351203709</v>
      </c>
      <c r="G213" s="9">
        <v>1.4620244169180749</v>
      </c>
      <c r="H213" s="9">
        <v>-2.9642400000000002</v>
      </c>
      <c r="I213" s="9">
        <v>-2.1805265</v>
      </c>
      <c r="J213" s="38">
        <f t="shared" si="9"/>
        <v>-7.657523999999998E-3</v>
      </c>
      <c r="K213" s="42">
        <f t="shared" si="10"/>
        <v>6.4848599999999923E-4</v>
      </c>
      <c r="L213" s="40">
        <f t="shared" si="11"/>
        <v>-7.837135000000002E-3</v>
      </c>
    </row>
    <row r="214" spans="1:12" x14ac:dyDescent="0.2">
      <c r="A214" s="2">
        <v>43555</v>
      </c>
      <c r="B214" s="9">
        <v>1.7156001000000001</v>
      </c>
      <c r="C214" s="9">
        <v>2.5691809999999999</v>
      </c>
      <c r="D214" s="9">
        <v>1.8839399999999999</v>
      </c>
      <c r="E214" s="9">
        <v>1.8831822</v>
      </c>
      <c r="F214" s="9">
        <v>1.4046333224980221</v>
      </c>
      <c r="G214" s="9">
        <v>1.4314896534297465</v>
      </c>
      <c r="H214" s="9">
        <v>-2.9642400000000002</v>
      </c>
      <c r="I214" s="9">
        <v>-2.1805265</v>
      </c>
      <c r="J214" s="38">
        <f t="shared" si="9"/>
        <v>-8.5358089999999984E-3</v>
      </c>
      <c r="K214" s="42">
        <f t="shared" si="10"/>
        <v>7.5779999999991963E-6</v>
      </c>
      <c r="L214" s="40">
        <f t="shared" si="11"/>
        <v>-7.837135000000002E-3</v>
      </c>
    </row>
    <row r="215" spans="1:12" x14ac:dyDescent="0.2">
      <c r="A215" s="2">
        <v>43585</v>
      </c>
      <c r="B215" s="9">
        <v>1.7258192000000001</v>
      </c>
      <c r="C215" s="9">
        <v>2.5276909999999999</v>
      </c>
      <c r="D215" s="9">
        <v>2.1084396999999999</v>
      </c>
      <c r="E215" s="9">
        <v>2.0005844000000002</v>
      </c>
      <c r="F215" s="9">
        <v>1.4046333224980221</v>
      </c>
      <c r="G215" s="9">
        <v>1.4314896534297465</v>
      </c>
      <c r="H215" s="9">
        <v>-1.6771885</v>
      </c>
      <c r="I215" s="9">
        <v>-2.1984922999999998</v>
      </c>
      <c r="J215" s="38">
        <f t="shared" si="9"/>
        <v>-8.0187179999999976E-3</v>
      </c>
      <c r="K215" s="42">
        <f t="shared" si="10"/>
        <v>1.0785529999999977E-3</v>
      </c>
      <c r="L215" s="40">
        <f t="shared" si="11"/>
        <v>5.2130379999999988E-3</v>
      </c>
    </row>
    <row r="216" spans="1:12" x14ac:dyDescent="0.2">
      <c r="A216" s="2">
        <v>43616</v>
      </c>
      <c r="B216" s="9">
        <v>1.6687088999999999</v>
      </c>
      <c r="C216" s="9">
        <v>2.3912360000000001</v>
      </c>
      <c r="D216" s="9">
        <v>2.3325770000000001</v>
      </c>
      <c r="E216" s="9">
        <v>1.7959027999999999</v>
      </c>
      <c r="F216" s="9">
        <v>1.4046333224980221</v>
      </c>
      <c r="G216" s="9">
        <v>1.4314896534297465</v>
      </c>
      <c r="H216" s="9">
        <v>-1.6771883000000001</v>
      </c>
      <c r="I216" s="9">
        <v>-2.1984922999999998</v>
      </c>
      <c r="J216" s="38">
        <f t="shared" si="9"/>
        <v>-7.2252710000000019E-3</v>
      </c>
      <c r="K216" s="42">
        <f t="shared" si="10"/>
        <v>5.3667420000000025E-3</v>
      </c>
      <c r="L216" s="40">
        <f t="shared" si="11"/>
        <v>5.2130399999999978E-3</v>
      </c>
    </row>
    <row r="217" spans="1:12" x14ac:dyDescent="0.2">
      <c r="A217" s="2">
        <v>43646</v>
      </c>
      <c r="B217" s="9">
        <v>1.4599101999999999</v>
      </c>
      <c r="C217" s="9">
        <v>2.069515</v>
      </c>
      <c r="D217" s="9">
        <v>2.103675</v>
      </c>
      <c r="E217" s="9">
        <v>1.6711961</v>
      </c>
      <c r="F217" s="9">
        <v>1.4563985639292703</v>
      </c>
      <c r="G217" s="9">
        <v>1.4800687057220538</v>
      </c>
      <c r="H217" s="9">
        <v>-1.6771883000000001</v>
      </c>
      <c r="I217" s="9">
        <v>-2.1984922999999998</v>
      </c>
      <c r="J217" s="38">
        <f t="shared" si="9"/>
        <v>-6.0960480000000006E-3</v>
      </c>
      <c r="K217" s="42">
        <f t="shared" si="10"/>
        <v>4.3247889999999999E-3</v>
      </c>
      <c r="L217" s="40">
        <f t="shared" si="11"/>
        <v>5.2130399999999978E-3</v>
      </c>
    </row>
    <row r="218" spans="1:12" x14ac:dyDescent="0.2">
      <c r="A218" s="2">
        <v>43677</v>
      </c>
      <c r="B218" s="9">
        <v>1.5193909999999999</v>
      </c>
      <c r="C218" s="9">
        <v>2.0543550000000002</v>
      </c>
      <c r="D218" s="9">
        <v>2.0194434999999999</v>
      </c>
      <c r="E218" s="9">
        <v>1.8263210000000001</v>
      </c>
      <c r="F218" s="9">
        <v>1.4563985639292703</v>
      </c>
      <c r="G218" s="9">
        <v>1.4800687057220538</v>
      </c>
      <c r="H218" s="9">
        <v>-1.9677275000000001</v>
      </c>
      <c r="I218" s="9">
        <v>-2.0270041999999999</v>
      </c>
      <c r="J218" s="38">
        <f t="shared" si="9"/>
        <v>-5.3496400000000019E-3</v>
      </c>
      <c r="K218" s="42">
        <f t="shared" si="10"/>
        <v>1.9312249999999987E-3</v>
      </c>
      <c r="L218" s="40">
        <f t="shared" si="11"/>
        <v>5.9276699999999849E-4</v>
      </c>
    </row>
    <row r="219" spans="1:12" x14ac:dyDescent="0.2">
      <c r="A219" s="2">
        <v>43708</v>
      </c>
      <c r="B219" s="9">
        <v>1.2112092999999999</v>
      </c>
      <c r="C219" s="9">
        <v>1.6224179000000001</v>
      </c>
      <c r="D219" s="9">
        <v>1.8670688</v>
      </c>
      <c r="E219" s="9">
        <v>1.7376415999999999</v>
      </c>
      <c r="F219" s="9">
        <v>1.4563985639292703</v>
      </c>
      <c r="G219" s="9">
        <v>1.4800687057220538</v>
      </c>
      <c r="H219" s="9">
        <v>-1.9677275000000001</v>
      </c>
      <c r="I219" s="9">
        <v>-2.0270041999999999</v>
      </c>
      <c r="J219" s="38">
        <f t="shared" si="9"/>
        <v>-4.1120860000000018E-3</v>
      </c>
      <c r="K219" s="42">
        <f t="shared" si="10"/>
        <v>1.2942720000000008E-3</v>
      </c>
      <c r="L219" s="40">
        <f t="shared" si="11"/>
        <v>5.9276699999999849E-4</v>
      </c>
    </row>
    <row r="220" spans="1:12" x14ac:dyDescent="0.2">
      <c r="A220" s="2">
        <v>43738</v>
      </c>
      <c r="B220" s="9">
        <v>1.3636299000000001</v>
      </c>
      <c r="C220" s="9">
        <v>1.6921902</v>
      </c>
      <c r="D220" s="9">
        <v>1.8684639000000001</v>
      </c>
      <c r="E220" s="9">
        <v>1.6845014</v>
      </c>
      <c r="F220" s="9">
        <v>1.419590290447829</v>
      </c>
      <c r="G220" s="9">
        <v>1.5600942305560461</v>
      </c>
      <c r="H220" s="9">
        <v>-1.9677275000000001</v>
      </c>
      <c r="I220" s="9">
        <v>-2.0270041999999999</v>
      </c>
      <c r="J220" s="38">
        <f t="shared" si="9"/>
        <v>-3.2856029999999994E-3</v>
      </c>
      <c r="K220" s="42">
        <f t="shared" si="10"/>
        <v>1.8396250000000003E-3</v>
      </c>
      <c r="L220" s="40">
        <f t="shared" si="11"/>
        <v>5.9276699999999849E-4</v>
      </c>
    </row>
    <row r="221" spans="1:12" x14ac:dyDescent="0.2">
      <c r="A221" s="2">
        <v>43769</v>
      </c>
      <c r="B221" s="9">
        <v>1.4519302999999999</v>
      </c>
      <c r="C221" s="9">
        <v>1.7022913</v>
      </c>
      <c r="D221" s="9">
        <v>1.8628825</v>
      </c>
      <c r="E221" s="9">
        <v>1.7339785000000001</v>
      </c>
      <c r="F221" s="9">
        <v>1.419590290447829</v>
      </c>
      <c r="G221" s="9">
        <v>1.5600942305560461</v>
      </c>
      <c r="H221" s="9">
        <v>-1.6080443</v>
      </c>
      <c r="I221" s="9">
        <v>-1.8094383000000001</v>
      </c>
      <c r="J221" s="38">
        <f t="shared" si="9"/>
        <v>-2.5036100000000007E-3</v>
      </c>
      <c r="K221" s="42">
        <f t="shared" si="10"/>
        <v>1.2890399999999991E-3</v>
      </c>
      <c r="L221" s="40">
        <f t="shared" si="11"/>
        <v>2.0139400000000005E-3</v>
      </c>
    </row>
    <row r="222" spans="1:12" x14ac:dyDescent="0.2">
      <c r="A222" s="2">
        <v>43799</v>
      </c>
      <c r="B222" s="9">
        <v>1.50718</v>
      </c>
      <c r="C222" s="9">
        <v>1.8158352</v>
      </c>
      <c r="D222" s="9">
        <v>2.0895581000000001</v>
      </c>
      <c r="E222" s="9">
        <v>2.0922928000000001</v>
      </c>
      <c r="F222" s="9">
        <v>1.419590290447829</v>
      </c>
      <c r="G222" s="9">
        <v>1.5600942305560461</v>
      </c>
      <c r="H222" s="9">
        <v>-1.6080443</v>
      </c>
      <c r="I222" s="9">
        <v>-1.8094383000000001</v>
      </c>
      <c r="J222" s="38">
        <f t="shared" si="9"/>
        <v>-3.0865520000000002E-3</v>
      </c>
      <c r="K222" s="42">
        <f t="shared" si="10"/>
        <v>-2.7346999999999787E-5</v>
      </c>
      <c r="L222" s="40">
        <f t="shared" si="11"/>
        <v>2.0139400000000005E-3</v>
      </c>
    </row>
    <row r="223" spans="1:12" x14ac:dyDescent="0.2">
      <c r="A223" s="2">
        <v>43830</v>
      </c>
      <c r="B223" s="9">
        <v>1.6064669</v>
      </c>
      <c r="C223" s="9">
        <v>1.8604379</v>
      </c>
      <c r="D223" s="9">
        <v>2.2338041999999998</v>
      </c>
      <c r="E223" s="9">
        <v>2.3195294999999998</v>
      </c>
      <c r="F223" s="9">
        <v>1.4279391639245602</v>
      </c>
      <c r="G223" s="9">
        <v>1.6326070916365851</v>
      </c>
      <c r="H223" s="9">
        <v>-1.6080443</v>
      </c>
      <c r="I223" s="9">
        <v>-1.8094383000000001</v>
      </c>
      <c r="J223" s="38">
        <f t="shared" si="9"/>
        <v>-2.5397099999999993E-3</v>
      </c>
      <c r="K223" s="42">
        <f t="shared" si="10"/>
        <v>-8.5725300000000009E-4</v>
      </c>
      <c r="L223" s="40">
        <f t="shared" si="11"/>
        <v>2.0139400000000005E-3</v>
      </c>
    </row>
    <row r="224" spans="1:12" x14ac:dyDescent="0.2">
      <c r="A224" s="2">
        <v>43861</v>
      </c>
      <c r="B224" s="9">
        <v>1.4899524</v>
      </c>
      <c r="C224" s="9">
        <v>1.7524431</v>
      </c>
      <c r="D224" s="9">
        <v>2.3827180000000001</v>
      </c>
      <c r="E224" s="9">
        <v>2.5997783999999999</v>
      </c>
      <c r="F224" s="9">
        <v>1.4279391639245602</v>
      </c>
      <c r="G224" s="9">
        <v>1.6326070916365851</v>
      </c>
      <c r="H224" s="9">
        <v>-3.1732295000000001</v>
      </c>
      <c r="I224" s="9">
        <v>-1.8103011</v>
      </c>
      <c r="J224" s="38">
        <f t="shared" si="9"/>
        <v>-2.624907000000001E-3</v>
      </c>
      <c r="K224" s="42">
        <f t="shared" si="10"/>
        <v>-2.1706039999999983E-3</v>
      </c>
      <c r="L224" s="40">
        <f t="shared" si="11"/>
        <v>-1.3629284000000002E-2</v>
      </c>
    </row>
    <row r="225" spans="1:12" x14ac:dyDescent="0.2">
      <c r="A225" s="2">
        <v>43890</v>
      </c>
      <c r="B225" s="9">
        <v>1.2938419999999999</v>
      </c>
      <c r="C225" s="9">
        <v>1.5016844</v>
      </c>
      <c r="D225" s="9">
        <v>2.2271709999999998</v>
      </c>
      <c r="E225" s="9">
        <v>2.3413279999999999</v>
      </c>
      <c r="F225" s="9">
        <v>1.4279391639245602</v>
      </c>
      <c r="G225" s="9">
        <v>1.6326070916365851</v>
      </c>
      <c r="H225" s="9">
        <v>-3.1732295000000001</v>
      </c>
      <c r="I225" s="9">
        <v>-1.8103011</v>
      </c>
      <c r="J225" s="38">
        <f t="shared" si="9"/>
        <v>-2.078424000000001E-3</v>
      </c>
      <c r="K225" s="42">
        <f t="shared" si="10"/>
        <v>-1.1415700000000006E-3</v>
      </c>
      <c r="L225" s="40">
        <f t="shared" si="11"/>
        <v>-1.3629284000000002E-2</v>
      </c>
    </row>
    <row r="226" spans="1:12" x14ac:dyDescent="0.2">
      <c r="A226" s="2">
        <v>43921</v>
      </c>
      <c r="B226" s="9">
        <v>0.79672723999999995</v>
      </c>
      <c r="C226" s="9">
        <v>0.85995449999999996</v>
      </c>
      <c r="D226" s="9">
        <v>0.81362210000000001</v>
      </c>
      <c r="E226" s="9">
        <v>1.4940374999999999</v>
      </c>
      <c r="F226" s="9">
        <v>0.8812848783875068</v>
      </c>
      <c r="G226" s="9">
        <v>1.3162423742811851</v>
      </c>
      <c r="H226" s="9">
        <v>-3.1732295000000001</v>
      </c>
      <c r="I226" s="9">
        <v>-1.8103011</v>
      </c>
      <c r="J226" s="38">
        <f t="shared" si="9"/>
        <v>-6.3227260000000012E-4</v>
      </c>
      <c r="K226" s="42">
        <f t="shared" si="10"/>
        <v>-6.8041539999999989E-3</v>
      </c>
      <c r="L226" s="40">
        <f t="shared" si="11"/>
        <v>-1.3629284000000002E-2</v>
      </c>
    </row>
    <row r="227" spans="1:12" x14ac:dyDescent="0.2">
      <c r="A227" s="2">
        <v>43951</v>
      </c>
      <c r="B227" s="9">
        <v>0.65280959999999999</v>
      </c>
      <c r="C227" s="9">
        <v>0.64954769999999995</v>
      </c>
      <c r="D227" s="9">
        <v>0</v>
      </c>
      <c r="E227" s="9">
        <v>0.31305562999999997</v>
      </c>
      <c r="F227" s="9">
        <v>0.8812848783875068</v>
      </c>
      <c r="G227" s="9">
        <v>1.3162423742811851</v>
      </c>
      <c r="H227" s="9">
        <v>-1.1426973</v>
      </c>
      <c r="I227" s="9">
        <v>-2.9706888</v>
      </c>
      <c r="J227" s="38">
        <f t="shared" si="9"/>
        <v>3.26190000000004E-5</v>
      </c>
      <c r="K227" s="42">
        <f t="shared" si="10"/>
        <v>-3.1305562999999997E-3</v>
      </c>
      <c r="L227" s="40">
        <f t="shared" si="11"/>
        <v>1.8279915000000001E-2</v>
      </c>
    </row>
    <row r="228" spans="1:12" x14ac:dyDescent="0.2">
      <c r="A228" s="2">
        <v>43982</v>
      </c>
      <c r="B228" s="9">
        <v>0.55462</v>
      </c>
      <c r="C228" s="9">
        <v>0.67238503999999999</v>
      </c>
      <c r="D228" s="9">
        <v>-0.44117519999999999</v>
      </c>
      <c r="E228" s="9">
        <v>0.19819516000000001</v>
      </c>
      <c r="F228" s="9">
        <v>0.8812848783875068</v>
      </c>
      <c r="G228" s="9">
        <v>1.3162423742811851</v>
      </c>
      <c r="H228" s="9">
        <v>-1.1426972</v>
      </c>
      <c r="I228" s="9">
        <v>-2.9706888</v>
      </c>
      <c r="J228" s="38">
        <f t="shared" si="9"/>
        <v>-1.1776503999999998E-3</v>
      </c>
      <c r="K228" s="42">
        <f t="shared" si="10"/>
        <v>-6.3937035999999999E-3</v>
      </c>
      <c r="L228" s="40">
        <f t="shared" si="11"/>
        <v>1.8279916E-2</v>
      </c>
    </row>
    <row r="229" spans="1:12" x14ac:dyDescent="0.2">
      <c r="A229" s="2">
        <v>44012</v>
      </c>
      <c r="B229" s="9">
        <v>0.56325919999999996</v>
      </c>
      <c r="C229" s="9">
        <v>0.72247720000000004</v>
      </c>
      <c r="D229" s="9">
        <v>0.44150581999999999</v>
      </c>
      <c r="E229" s="9">
        <v>0.71665084000000001</v>
      </c>
      <c r="F229" s="9">
        <v>-2.2401391016933818</v>
      </c>
      <c r="G229" s="9">
        <v>-1.8665013845295222</v>
      </c>
      <c r="H229" s="9">
        <v>-1.1426972</v>
      </c>
      <c r="I229" s="9">
        <v>-2.9706888</v>
      </c>
      <c r="J229" s="38">
        <f t="shared" si="9"/>
        <v>-1.5921800000000008E-3</v>
      </c>
      <c r="K229" s="42">
        <f t="shared" si="10"/>
        <v>-2.7514502E-3</v>
      </c>
      <c r="L229" s="40">
        <f t="shared" si="11"/>
        <v>1.8279916E-2</v>
      </c>
    </row>
    <row r="230" spans="1:12" x14ac:dyDescent="0.2">
      <c r="A230" s="2">
        <v>44043</v>
      </c>
      <c r="B230" s="9">
        <v>0.51584536000000003</v>
      </c>
      <c r="C230" s="9">
        <v>0.61427730000000003</v>
      </c>
      <c r="D230" s="9">
        <v>7.3322540000000005E-2</v>
      </c>
      <c r="E230" s="9">
        <v>0.99686617</v>
      </c>
      <c r="F230" s="9">
        <v>-2.2401391016933818</v>
      </c>
      <c r="G230" s="9">
        <v>-1.8665013845295222</v>
      </c>
      <c r="H230" s="9">
        <v>-1.9611088000000001</v>
      </c>
      <c r="I230" s="9">
        <v>-3.0814748000000001</v>
      </c>
      <c r="J230" s="38">
        <f t="shared" si="9"/>
        <v>-9.8431939999999991E-4</v>
      </c>
      <c r="K230" s="42">
        <f t="shared" si="10"/>
        <v>-9.2354363000000002E-3</v>
      </c>
      <c r="L230" s="40">
        <f t="shared" si="11"/>
        <v>1.1203659999999999E-2</v>
      </c>
    </row>
    <row r="231" spans="1:12" x14ac:dyDescent="0.2">
      <c r="A231" s="2">
        <v>44074</v>
      </c>
      <c r="B231" s="9">
        <v>0.55765710000000002</v>
      </c>
      <c r="C231" s="9">
        <v>0.64450485000000002</v>
      </c>
      <c r="D231" s="9">
        <v>0.29326624000000001</v>
      </c>
      <c r="E231" s="9">
        <v>1.2810773</v>
      </c>
      <c r="F231" s="9">
        <v>-2.2401391016933818</v>
      </c>
      <c r="G231" s="9">
        <v>-1.8665013845295222</v>
      </c>
      <c r="H231" s="9">
        <v>-1.9611088000000001</v>
      </c>
      <c r="I231" s="9">
        <v>-3.0814748000000001</v>
      </c>
      <c r="J231" s="38">
        <f t="shared" si="9"/>
        <v>-8.6847750000000005E-4</v>
      </c>
      <c r="K231" s="42">
        <f t="shared" si="10"/>
        <v>-9.8781106E-3</v>
      </c>
      <c r="L231" s="40">
        <f t="shared" si="11"/>
        <v>1.1203659999999999E-2</v>
      </c>
    </row>
    <row r="232" spans="1:12" x14ac:dyDescent="0.2">
      <c r="A232" s="2">
        <v>44104</v>
      </c>
      <c r="B232" s="9">
        <v>0.55775710000000001</v>
      </c>
      <c r="C232" s="9">
        <v>0.67150944000000001</v>
      </c>
      <c r="D232" s="9">
        <v>0.58693874000000001</v>
      </c>
      <c r="E232" s="9">
        <v>1.3910258</v>
      </c>
      <c r="F232" s="9">
        <v>-1.5236131438860854</v>
      </c>
      <c r="G232" s="9">
        <v>-0.74465804164323213</v>
      </c>
      <c r="H232" s="9">
        <v>-1.9611088000000001</v>
      </c>
      <c r="I232" s="9">
        <v>-3.0814748000000001</v>
      </c>
      <c r="J232" s="38">
        <f t="shared" si="9"/>
        <v>-1.1375234E-3</v>
      </c>
      <c r="K232" s="42">
        <f t="shared" si="10"/>
        <v>-8.0408705999999996E-3</v>
      </c>
      <c r="L232" s="40">
        <f t="shared" si="11"/>
        <v>1.1203659999999999E-2</v>
      </c>
    </row>
    <row r="233" spans="1:12" x14ac:dyDescent="0.2">
      <c r="A233" s="2">
        <v>44135</v>
      </c>
      <c r="B233" s="9">
        <v>0.60062736000000005</v>
      </c>
      <c r="C233" s="9">
        <v>0.77234082999999998</v>
      </c>
      <c r="D233" s="9">
        <v>0.5852214</v>
      </c>
      <c r="E233" s="9">
        <v>1.2303729999999999</v>
      </c>
      <c r="F233" s="9">
        <v>-1.5236131438860854</v>
      </c>
      <c r="G233" s="9">
        <v>-0.74465804164323213</v>
      </c>
      <c r="H233" s="9">
        <v>-0.77043295000000001</v>
      </c>
      <c r="I233" s="9">
        <v>-3.2635803000000001</v>
      </c>
      <c r="J233" s="38">
        <f t="shared" si="9"/>
        <v>-1.7171346999999993E-3</v>
      </c>
      <c r="K233" s="42">
        <f t="shared" si="10"/>
        <v>-6.4515159999999992E-3</v>
      </c>
      <c r="L233" s="40">
        <f t="shared" si="11"/>
        <v>2.4931473500000002E-2</v>
      </c>
    </row>
    <row r="234" spans="1:12" x14ac:dyDescent="0.2">
      <c r="A234" s="2">
        <v>44165</v>
      </c>
      <c r="B234" s="9">
        <v>0.69249505</v>
      </c>
      <c r="C234" s="9">
        <v>0.86905014999999997</v>
      </c>
      <c r="D234" s="9">
        <v>0.87719625000000001</v>
      </c>
      <c r="E234" s="9">
        <v>1.1757461</v>
      </c>
      <c r="F234" s="9">
        <v>-1.5236131438860854</v>
      </c>
      <c r="G234" s="9">
        <v>-0.74465804164323213</v>
      </c>
      <c r="H234" s="9">
        <v>-0.77043295000000001</v>
      </c>
      <c r="I234" s="9">
        <v>-3.2635803000000001</v>
      </c>
      <c r="J234" s="38">
        <f t="shared" si="9"/>
        <v>-1.7655509999999998E-3</v>
      </c>
      <c r="K234" s="42">
        <f t="shared" si="10"/>
        <v>-2.9854985000000002E-3</v>
      </c>
      <c r="L234" s="40">
        <f t="shared" si="11"/>
        <v>2.4931473500000002E-2</v>
      </c>
    </row>
    <row r="235" spans="1:12" x14ac:dyDescent="0.2">
      <c r="A235" s="2">
        <v>44196</v>
      </c>
      <c r="B235" s="9">
        <v>0.72912717000000005</v>
      </c>
      <c r="C235" s="9">
        <v>0.92768185999999997</v>
      </c>
      <c r="D235" s="9">
        <v>0.87399596000000002</v>
      </c>
      <c r="E235" s="9">
        <v>1.3204274</v>
      </c>
      <c r="F235" s="9">
        <v>-1.2642402286689758</v>
      </c>
      <c r="G235" s="9">
        <v>-0.26368375431709684</v>
      </c>
      <c r="H235" s="9">
        <v>-0.77043295000000001</v>
      </c>
      <c r="I235" s="9">
        <v>-3.2635803000000001</v>
      </c>
      <c r="J235" s="38">
        <f t="shared" si="9"/>
        <v>-1.9855468999999994E-3</v>
      </c>
      <c r="K235" s="42">
        <f t="shared" si="10"/>
        <v>-4.4643143999999997E-3</v>
      </c>
      <c r="L235" s="40">
        <f t="shared" si="11"/>
        <v>2.4931473500000002E-2</v>
      </c>
    </row>
    <row r="236" spans="1:12" x14ac:dyDescent="0.2">
      <c r="A236" s="2">
        <v>44227</v>
      </c>
      <c r="B236" s="9">
        <v>0.80952626000000005</v>
      </c>
      <c r="C236" s="9">
        <v>1.0676631999999999</v>
      </c>
      <c r="D236" s="9">
        <v>1.1636447999999999</v>
      </c>
      <c r="E236" s="9">
        <v>1.3553103</v>
      </c>
      <c r="F236" s="9">
        <v>-1.2642402286689758</v>
      </c>
      <c r="G236" s="9">
        <v>-0.26368375431709684</v>
      </c>
      <c r="H236" s="9">
        <v>-3.4383650000000002E-2</v>
      </c>
      <c r="I236" s="9">
        <v>-3.3351939000000002</v>
      </c>
      <c r="J236" s="38">
        <f t="shared" si="9"/>
        <v>-2.5813693999999989E-3</v>
      </c>
      <c r="K236" s="42">
        <f t="shared" si="10"/>
        <v>-1.9166550000000004E-3</v>
      </c>
      <c r="L236" s="40">
        <f t="shared" si="11"/>
        <v>3.3008102499999997E-2</v>
      </c>
    </row>
    <row r="237" spans="1:12" x14ac:dyDescent="0.2">
      <c r="A237" s="2">
        <v>44255</v>
      </c>
      <c r="B237" s="9">
        <v>1.1033894</v>
      </c>
      <c r="C237" s="9">
        <v>1.2487261999999999</v>
      </c>
      <c r="D237" s="9">
        <v>1.2345672000000001</v>
      </c>
      <c r="E237" s="9">
        <v>1.6674925</v>
      </c>
      <c r="F237" s="9">
        <v>-1.2642402286689758</v>
      </c>
      <c r="G237" s="9">
        <v>-0.26368375431709684</v>
      </c>
      <c r="H237" s="9">
        <v>-3.4383650000000002E-2</v>
      </c>
      <c r="I237" s="9">
        <v>-3.3351939000000002</v>
      </c>
      <c r="J237" s="38">
        <f t="shared" si="9"/>
        <v>-1.4533679999999994E-3</v>
      </c>
      <c r="K237" s="42">
        <f t="shared" si="10"/>
        <v>-4.3292529999999999E-3</v>
      </c>
      <c r="L237" s="40">
        <f t="shared" si="11"/>
        <v>3.3008102499999997E-2</v>
      </c>
    </row>
    <row r="238" spans="1:12" x14ac:dyDescent="0.2">
      <c r="A238" s="2">
        <v>44286</v>
      </c>
      <c r="B238" s="9">
        <v>1.4997524</v>
      </c>
      <c r="C238" s="9">
        <v>1.6073999999999999</v>
      </c>
      <c r="D238" s="9">
        <v>2.3477549999999998</v>
      </c>
      <c r="E238" s="9">
        <v>2.623653</v>
      </c>
      <c r="F238" s="9">
        <v>1.1678927027772457</v>
      </c>
      <c r="G238" s="9">
        <v>1.4035336245860515</v>
      </c>
      <c r="H238" s="9">
        <v>-3.4383650000000002E-2</v>
      </c>
      <c r="I238" s="9">
        <v>-3.3351939000000002</v>
      </c>
      <c r="J238" s="38">
        <f t="shared" si="9"/>
        <v>-1.0764759999999996E-3</v>
      </c>
      <c r="K238" s="42">
        <f t="shared" si="10"/>
        <v>-2.758980000000002E-3</v>
      </c>
      <c r="L238" s="40">
        <f t="shared" si="11"/>
        <v>3.3008102499999997E-2</v>
      </c>
    </row>
    <row r="239" spans="1:12" x14ac:dyDescent="0.2">
      <c r="A239" s="2">
        <v>44316</v>
      </c>
      <c r="B239" s="9">
        <v>1.5154331999999999</v>
      </c>
      <c r="C239" s="9">
        <v>1.6169427999999999</v>
      </c>
      <c r="D239" s="9">
        <v>3.1710725000000002</v>
      </c>
      <c r="E239" s="9">
        <v>4.1373670000000002</v>
      </c>
      <c r="F239" s="9">
        <v>1.1678927027772457</v>
      </c>
      <c r="G239" s="9">
        <v>1.4035336245860515</v>
      </c>
      <c r="H239" s="9">
        <v>-0.38118730000000001</v>
      </c>
      <c r="I239" s="9">
        <v>-3.5811074000000001</v>
      </c>
      <c r="J239" s="38">
        <f t="shared" si="9"/>
        <v>-1.0150959999999998E-3</v>
      </c>
      <c r="K239" s="42">
        <f t="shared" si="10"/>
        <v>-9.6629450000000009E-3</v>
      </c>
      <c r="L239" s="40">
        <f t="shared" si="11"/>
        <v>3.1999200999999998E-2</v>
      </c>
    </row>
    <row r="240" spans="1:12" x14ac:dyDescent="0.2">
      <c r="A240" s="2">
        <v>44347</v>
      </c>
      <c r="B240" s="9">
        <v>1.5295350000000001</v>
      </c>
      <c r="C240" s="9">
        <v>1.6128947</v>
      </c>
      <c r="D240" s="9">
        <v>3.6189113000000002</v>
      </c>
      <c r="E240" s="9">
        <v>4.9264764999999997</v>
      </c>
      <c r="F240" s="9">
        <v>1.1678927027772457</v>
      </c>
      <c r="G240" s="9">
        <v>1.4035336245860515</v>
      </c>
      <c r="H240" s="9">
        <v>-0.38118722999999999</v>
      </c>
      <c r="I240" s="9">
        <v>-3.5811074000000001</v>
      </c>
      <c r="J240" s="38">
        <f t="shared" si="9"/>
        <v>-8.3359699999999929E-4</v>
      </c>
      <c r="K240" s="42">
        <f t="shared" si="10"/>
        <v>-1.3075651999999995E-2</v>
      </c>
      <c r="L240" s="40">
        <f t="shared" si="11"/>
        <v>3.19992017E-2</v>
      </c>
    </row>
    <row r="241" spans="1:12" x14ac:dyDescent="0.2">
      <c r="A241" s="2">
        <v>44377</v>
      </c>
      <c r="B241" s="9">
        <v>1.4272228</v>
      </c>
      <c r="C241" s="9">
        <v>1.5127136999999999</v>
      </c>
      <c r="D241" s="9">
        <v>3.0769198000000002</v>
      </c>
      <c r="E241" s="9">
        <v>5.3174114000000001</v>
      </c>
      <c r="F241" s="9">
        <v>2.4040021765331629</v>
      </c>
      <c r="G241" s="9">
        <v>2.365676689258307</v>
      </c>
      <c r="H241" s="9">
        <v>-0.38118726000000003</v>
      </c>
      <c r="I241" s="9">
        <v>-3.5811074000000001</v>
      </c>
      <c r="J241" s="38">
        <f t="shared" si="9"/>
        <v>-8.5490899999999929E-4</v>
      </c>
      <c r="K241" s="42">
        <f t="shared" si="10"/>
        <v>-2.2404916E-2</v>
      </c>
      <c r="L241" s="40">
        <f t="shared" si="11"/>
        <v>3.1999201400000003E-2</v>
      </c>
    </row>
    <row r="242" spans="1:12" x14ac:dyDescent="0.2">
      <c r="A242" s="2">
        <v>44408</v>
      </c>
      <c r="B242" s="9">
        <v>1.2516569</v>
      </c>
      <c r="C242" s="9">
        <v>1.3081</v>
      </c>
      <c r="D242" s="9">
        <v>3.5897359999999998</v>
      </c>
      <c r="E242" s="9">
        <v>5.269171</v>
      </c>
      <c r="F242" s="9">
        <v>2.4040021765331629</v>
      </c>
      <c r="G242" s="9">
        <v>2.365676689258307</v>
      </c>
      <c r="H242" s="9">
        <v>-0.60109919999999994</v>
      </c>
      <c r="I242" s="9">
        <v>-3.8881211000000002</v>
      </c>
      <c r="J242" s="38">
        <f t="shared" si="9"/>
        <v>-5.6443100000000076E-4</v>
      </c>
      <c r="K242" s="42">
        <f t="shared" si="10"/>
        <v>-1.6794350000000003E-2</v>
      </c>
      <c r="L242" s="40">
        <f t="shared" si="11"/>
        <v>3.2870218999999999E-2</v>
      </c>
    </row>
    <row r="243" spans="1:12" x14ac:dyDescent="0.2">
      <c r="A243" s="2">
        <v>44439</v>
      </c>
      <c r="B243" s="9">
        <v>1.1898770000000001</v>
      </c>
      <c r="C243" s="9">
        <v>1.27735</v>
      </c>
      <c r="D243" s="9">
        <v>4.0204579999999996</v>
      </c>
      <c r="E243" s="9">
        <v>5.1813320000000003</v>
      </c>
      <c r="F243" s="9">
        <v>2.4040021765331629</v>
      </c>
      <c r="G243" s="9">
        <v>2.365676689258307</v>
      </c>
      <c r="H243" s="9">
        <v>-0.60109919999999994</v>
      </c>
      <c r="I243" s="9">
        <v>-3.8881211000000002</v>
      </c>
      <c r="J243" s="38">
        <f t="shared" si="9"/>
        <v>-8.7472999999999913E-4</v>
      </c>
      <c r="K243" s="42">
        <f t="shared" si="10"/>
        <v>-1.1608740000000006E-2</v>
      </c>
      <c r="L243" s="40">
        <f t="shared" si="11"/>
        <v>3.2870218999999999E-2</v>
      </c>
    </row>
    <row r="244" spans="1:12" x14ac:dyDescent="0.2">
      <c r="A244" s="2">
        <v>44469</v>
      </c>
      <c r="B244" s="9">
        <v>1.2763001</v>
      </c>
      <c r="C244" s="9">
        <v>1.3711903999999999</v>
      </c>
      <c r="D244" s="9">
        <v>4.376366</v>
      </c>
      <c r="E244" s="9">
        <v>5.3635187000000002</v>
      </c>
      <c r="F244" s="9">
        <v>1.8736333033093853</v>
      </c>
      <c r="G244" s="9">
        <v>1.8147401166451134</v>
      </c>
      <c r="H244" s="9">
        <v>-0.60109919999999994</v>
      </c>
      <c r="I244" s="9">
        <v>-3.8881211000000002</v>
      </c>
      <c r="J244" s="38">
        <f t="shared" si="9"/>
        <v>-9.4890299999999877E-4</v>
      </c>
      <c r="K244" s="42">
        <f t="shared" si="10"/>
        <v>-9.8715270000000015E-3</v>
      </c>
      <c r="L244" s="40">
        <f t="shared" si="11"/>
        <v>3.2870218999999999E-2</v>
      </c>
    </row>
    <row r="245" spans="1:12" x14ac:dyDescent="0.2">
      <c r="A245" s="2">
        <v>44500</v>
      </c>
      <c r="B245" s="9">
        <v>1.5981382</v>
      </c>
      <c r="C245" s="9">
        <v>1.5755619000000001</v>
      </c>
      <c r="D245" s="9">
        <v>4.6545553000000002</v>
      </c>
      <c r="E245" s="9">
        <v>6.2266089999999998</v>
      </c>
      <c r="F245" s="9">
        <v>1.8736333033093853</v>
      </c>
      <c r="G245" s="9">
        <v>1.8147401166451134</v>
      </c>
      <c r="H245" s="9">
        <v>-4.7659069999999998E-2</v>
      </c>
      <c r="I245" s="9">
        <v>-3.6804399999999999</v>
      </c>
      <c r="J245" s="38">
        <f t="shared" si="9"/>
        <v>2.2576299999999883E-4</v>
      </c>
      <c r="K245" s="42">
        <f t="shared" si="10"/>
        <v>-1.5720536999999996E-2</v>
      </c>
      <c r="L245" s="40">
        <f t="shared" si="11"/>
        <v>3.63278093E-2</v>
      </c>
    </row>
    <row r="246" spans="1:12" x14ac:dyDescent="0.2">
      <c r="A246" s="2">
        <v>44530</v>
      </c>
      <c r="B246" s="9">
        <v>1.6798999999999999</v>
      </c>
      <c r="C246" s="9">
        <v>1.5551618</v>
      </c>
      <c r="D246" s="9">
        <v>4.7101335999999998</v>
      </c>
      <c r="E246" s="9">
        <v>6.8655520000000001</v>
      </c>
      <c r="F246" s="9">
        <v>1.8736333033093853</v>
      </c>
      <c r="G246" s="9">
        <v>1.8147401166451134</v>
      </c>
      <c r="H246" s="9">
        <v>-4.7659069999999998E-2</v>
      </c>
      <c r="I246" s="9">
        <v>-3.6804399999999999</v>
      </c>
      <c r="J246" s="38">
        <f t="shared" si="9"/>
        <v>1.2473819999999991E-3</v>
      </c>
      <c r="K246" s="42">
        <f t="shared" si="10"/>
        <v>-2.1554184000000004E-2</v>
      </c>
      <c r="L246" s="40">
        <f t="shared" si="11"/>
        <v>3.63278093E-2</v>
      </c>
    </row>
    <row r="247" spans="1:12" x14ac:dyDescent="0.2">
      <c r="A247" s="2">
        <v>44561</v>
      </c>
      <c r="B247" s="9">
        <v>1.45055</v>
      </c>
      <c r="C247" s="9">
        <v>1.4610498999999999</v>
      </c>
      <c r="D247" s="9">
        <v>4.8375510000000004</v>
      </c>
      <c r="E247" s="9">
        <v>7.1594515000000003</v>
      </c>
      <c r="F247" s="9">
        <v>1.8649345788013574</v>
      </c>
      <c r="G247" s="9">
        <v>1.8873284764387448</v>
      </c>
      <c r="H247" s="9">
        <v>-4.7659066E-2</v>
      </c>
      <c r="I247" s="9">
        <v>-3.6804399999999999</v>
      </c>
      <c r="J247" s="38">
        <f t="shared" si="9"/>
        <v>-1.0499899999999896E-4</v>
      </c>
      <c r="K247" s="42">
        <f t="shared" si="10"/>
        <v>-2.3219005000000001E-2</v>
      </c>
      <c r="L247" s="40">
        <f t="shared" si="11"/>
        <v>3.6327809339999996E-2</v>
      </c>
    </row>
    <row r="248" spans="1:12" x14ac:dyDescent="0.2">
      <c r="A248" s="2">
        <v>44592</v>
      </c>
      <c r="B248" s="9">
        <v>1.7315552000000001</v>
      </c>
      <c r="C248" s="9">
        <v>1.7611101</v>
      </c>
      <c r="D248" s="9">
        <v>5.1761283999999996</v>
      </c>
      <c r="E248" s="9">
        <v>7.578087</v>
      </c>
      <c r="F248" s="9">
        <v>1.8649345788013574</v>
      </c>
      <c r="G248" s="9">
        <v>1.8873284764387448</v>
      </c>
      <c r="H248" s="9">
        <v>0.52351119999999995</v>
      </c>
      <c r="I248" s="9">
        <v>-4.4823079999999997</v>
      </c>
      <c r="J248" s="38">
        <f t="shared" si="9"/>
        <v>-2.9554899999999939E-4</v>
      </c>
      <c r="K248" s="42">
        <f t="shared" si="10"/>
        <v>-2.4019586000000002E-2</v>
      </c>
      <c r="L248" s="40">
        <f t="shared" si="11"/>
        <v>5.0058191999999994E-2</v>
      </c>
    </row>
    <row r="249" spans="1:12" x14ac:dyDescent="0.2">
      <c r="A249" s="2">
        <v>44620</v>
      </c>
      <c r="B249" s="9">
        <v>1.8778999999999999</v>
      </c>
      <c r="C249" s="9">
        <v>1.9355842000000001</v>
      </c>
      <c r="D249" s="9">
        <v>5.6671486</v>
      </c>
      <c r="E249" s="9">
        <v>7.9492273000000004</v>
      </c>
      <c r="F249" s="9">
        <v>1.8649345788013574</v>
      </c>
      <c r="G249" s="9">
        <v>1.8873284764387448</v>
      </c>
      <c r="H249" s="9">
        <v>0.52351110000000001</v>
      </c>
      <c r="I249" s="9">
        <v>-4.4823079999999997</v>
      </c>
      <c r="J249" s="38">
        <f t="shared" si="9"/>
        <v>-5.7684200000000189E-4</v>
      </c>
      <c r="K249" s="42">
        <f t="shared" si="10"/>
        <v>-2.2820787000000006E-2</v>
      </c>
      <c r="L249" s="40">
        <f t="shared" si="11"/>
        <v>5.0058191000000002E-2</v>
      </c>
    </row>
    <row r="250" spans="1:12" x14ac:dyDescent="0.2">
      <c r="A250" s="2">
        <v>44651</v>
      </c>
      <c r="B250" s="9">
        <v>2.1297649999999999</v>
      </c>
      <c r="C250" s="9">
        <v>2.1266867999999999</v>
      </c>
      <c r="D250" s="9">
        <v>6.7383484999999999</v>
      </c>
      <c r="E250" s="9">
        <v>8.540775</v>
      </c>
      <c r="F250" s="9">
        <v>1.7762144436430019</v>
      </c>
      <c r="G250" s="9">
        <v>1.7116595268355179</v>
      </c>
      <c r="H250" s="9">
        <v>0.52351110000000001</v>
      </c>
      <c r="I250" s="9">
        <v>-4.4823079999999997</v>
      </c>
      <c r="J250" s="38">
        <f t="shared" si="9"/>
        <v>3.0782000000000309E-5</v>
      </c>
      <c r="K250" s="42">
        <f t="shared" si="10"/>
        <v>-1.8024265000000001E-2</v>
      </c>
      <c r="L250" s="40">
        <f t="shared" si="11"/>
        <v>5.0058191000000002E-2</v>
      </c>
    </row>
    <row r="251" spans="1:12" x14ac:dyDescent="0.2">
      <c r="A251" s="2">
        <v>44681</v>
      </c>
      <c r="B251" s="9">
        <v>2.7023902</v>
      </c>
      <c r="C251" s="9">
        <v>2.7462300000000002</v>
      </c>
      <c r="D251" s="9">
        <v>6.7905654999999996</v>
      </c>
      <c r="E251" s="9">
        <v>8.2351539999999996</v>
      </c>
      <c r="F251" s="9">
        <v>1.7762144436430019</v>
      </c>
      <c r="G251" s="9">
        <v>1.7116595268355179</v>
      </c>
      <c r="H251" s="9">
        <v>0.59221140000000005</v>
      </c>
      <c r="I251" s="9">
        <v>-3.9556548999999999</v>
      </c>
      <c r="J251" s="38">
        <f t="shared" si="9"/>
        <v>-4.3839800000000206E-4</v>
      </c>
      <c r="K251" s="42">
        <f t="shared" si="10"/>
        <v>-1.4445885E-2</v>
      </c>
      <c r="L251" s="40">
        <f t="shared" si="11"/>
        <v>4.5478663000000003E-2</v>
      </c>
    </row>
    <row r="252" spans="1:12" x14ac:dyDescent="0.2">
      <c r="A252" s="2">
        <v>44712</v>
      </c>
      <c r="B252" s="9">
        <v>2.9189951000000001</v>
      </c>
      <c r="C252" s="9">
        <v>2.8988141999999999</v>
      </c>
      <c r="D252" s="9">
        <v>7.6978020000000003</v>
      </c>
      <c r="E252" s="9">
        <v>8.5300510000000003</v>
      </c>
      <c r="F252" s="9">
        <v>1.7762144436430019</v>
      </c>
      <c r="G252" s="9">
        <v>1.7116595268355179</v>
      </c>
      <c r="H252" s="9">
        <v>0.59221140000000005</v>
      </c>
      <c r="I252" s="9">
        <v>-3.9556548999999999</v>
      </c>
      <c r="J252" s="38">
        <f t="shared" si="9"/>
        <v>2.0180900000000169E-4</v>
      </c>
      <c r="K252" s="42">
        <f t="shared" si="10"/>
        <v>-8.3224900000000001E-3</v>
      </c>
      <c r="L252" s="40">
        <f t="shared" si="11"/>
        <v>4.5478663000000003E-2</v>
      </c>
    </row>
    <row r="253" spans="1:12" x14ac:dyDescent="0.2">
      <c r="A253" s="2">
        <v>44742</v>
      </c>
      <c r="B253" s="9">
        <v>3.3117046000000001</v>
      </c>
      <c r="C253" s="9">
        <v>3.1392481000000001</v>
      </c>
      <c r="D253" s="9">
        <v>8.1734139999999993</v>
      </c>
      <c r="E253" s="9">
        <v>8.9992990000000006</v>
      </c>
      <c r="F253" s="9">
        <v>1.8859959932397232</v>
      </c>
      <c r="G253" s="9">
        <v>1.5152456622908577</v>
      </c>
      <c r="H253" s="9">
        <v>0.59221140000000005</v>
      </c>
      <c r="I253" s="9">
        <v>-3.9556548999999999</v>
      </c>
      <c r="J253" s="38">
        <f t="shared" si="9"/>
        <v>1.7245650000000002E-3</v>
      </c>
      <c r="K253" s="42">
        <f t="shared" si="10"/>
        <v>-8.2588500000000137E-3</v>
      </c>
      <c r="L253" s="40">
        <f t="shared" si="11"/>
        <v>4.5478663000000003E-2</v>
      </c>
    </row>
    <row r="254" spans="1:12" x14ac:dyDescent="0.2">
      <c r="A254" s="2">
        <v>44773</v>
      </c>
      <c r="B254" s="9">
        <v>3.0230103000000002</v>
      </c>
      <c r="C254" s="9">
        <v>2.8923402</v>
      </c>
      <c r="D254" s="9">
        <v>7.6379074999999998</v>
      </c>
      <c r="E254" s="9">
        <v>8.4477790000000006</v>
      </c>
      <c r="F254" s="9">
        <v>1.8859959932397232</v>
      </c>
      <c r="G254" s="9">
        <v>1.5152456622908577</v>
      </c>
      <c r="H254" s="9">
        <v>-1.3502748</v>
      </c>
      <c r="I254" s="9">
        <v>-3.4307842000000002</v>
      </c>
      <c r="J254" s="38">
        <f t="shared" si="9"/>
        <v>1.3067010000000013E-3</v>
      </c>
      <c r="K254" s="42">
        <f t="shared" si="10"/>
        <v>-8.0987150000000081E-3</v>
      </c>
      <c r="L254" s="40">
        <f t="shared" si="11"/>
        <v>2.0805094000000003E-2</v>
      </c>
    </row>
    <row r="255" spans="1:12" x14ac:dyDescent="0.2">
      <c r="A255" s="2">
        <v>44804</v>
      </c>
      <c r="B255" s="9">
        <v>2.8494522999999998</v>
      </c>
      <c r="C255" s="9">
        <v>2.8994266999999998</v>
      </c>
      <c r="D255" s="9">
        <v>6.8868675000000001</v>
      </c>
      <c r="E255" s="9">
        <v>8.2162400000000009</v>
      </c>
      <c r="F255" s="9">
        <v>1.8859959932397232</v>
      </c>
      <c r="G255" s="9">
        <v>1.5152456622908577</v>
      </c>
      <c r="H255" s="9">
        <v>-1.3502748</v>
      </c>
      <c r="I255" s="9">
        <v>-3.4307842000000002</v>
      </c>
      <c r="J255" s="38">
        <f t="shared" si="9"/>
        <v>-4.9974399999999977E-4</v>
      </c>
      <c r="K255" s="42">
        <f t="shared" si="10"/>
        <v>-1.3293725000000008E-2</v>
      </c>
      <c r="L255" s="40">
        <f t="shared" si="11"/>
        <v>2.0805094000000003E-2</v>
      </c>
    </row>
    <row r="256" spans="1:12" x14ac:dyDescent="0.2">
      <c r="A256" s="2">
        <v>44834</v>
      </c>
      <c r="B256" s="9">
        <v>3.1477520000000001</v>
      </c>
      <c r="C256" s="9">
        <v>3.5154190000000001</v>
      </c>
      <c r="D256" s="9">
        <v>6.7784705000000001</v>
      </c>
      <c r="E256" s="9">
        <v>8.2057494999999996</v>
      </c>
      <c r="F256" s="9">
        <v>1.737814007392378</v>
      </c>
      <c r="G256" s="9">
        <v>1.4882754246254626</v>
      </c>
      <c r="H256" s="9">
        <v>-1.3502749000000001</v>
      </c>
      <c r="I256" s="9">
        <v>-3.4307842000000002</v>
      </c>
      <c r="J256" s="38">
        <f t="shared" si="9"/>
        <v>-3.6766699999999995E-3</v>
      </c>
      <c r="K256" s="42">
        <f t="shared" si="10"/>
        <v>-1.4272789999999995E-2</v>
      </c>
      <c r="L256" s="40">
        <f t="shared" si="11"/>
        <v>2.0805093E-2</v>
      </c>
    </row>
    <row r="257" spans="1:12" x14ac:dyDescent="0.2">
      <c r="A257" s="2">
        <v>44865</v>
      </c>
      <c r="B257" s="9">
        <v>3.3810475000000002</v>
      </c>
      <c r="C257" s="9">
        <v>3.9699382999999999</v>
      </c>
      <c r="D257" s="9">
        <v>6.8102812999999998</v>
      </c>
      <c r="E257" s="9">
        <v>7.7572489999999998</v>
      </c>
      <c r="F257" s="9">
        <v>1.737814007392378</v>
      </c>
      <c r="G257" s="9">
        <v>1.4882754246254626</v>
      </c>
      <c r="H257" s="9">
        <v>-1.1900393</v>
      </c>
      <c r="I257" s="9">
        <v>-3.4419336</v>
      </c>
      <c r="J257" s="38">
        <f t="shared" si="9"/>
        <v>-5.8889079999999974E-3</v>
      </c>
      <c r="K257" s="42">
        <f t="shared" si="10"/>
        <v>-9.469677000000001E-3</v>
      </c>
      <c r="L257" s="40">
        <f t="shared" si="11"/>
        <v>2.2518943E-2</v>
      </c>
    </row>
    <row r="258" spans="1:12" x14ac:dyDescent="0.2">
      <c r="A258" s="2">
        <v>44895</v>
      </c>
      <c r="B258" s="9">
        <v>3.1788669000000001</v>
      </c>
      <c r="C258" s="9">
        <v>3.8858191999999998</v>
      </c>
      <c r="D258" s="9">
        <v>6.7820153000000003</v>
      </c>
      <c r="E258" s="9">
        <v>7.1313814999999998</v>
      </c>
      <c r="F258" s="9">
        <v>1.737814007392378</v>
      </c>
      <c r="G258" s="9">
        <v>1.4882754246254626</v>
      </c>
      <c r="H258" s="9">
        <v>-1.1900393</v>
      </c>
      <c r="I258" s="9">
        <v>-3.4419336</v>
      </c>
      <c r="J258" s="38">
        <f t="shared" si="9"/>
        <v>-7.0695229999999977E-3</v>
      </c>
      <c r="K258" s="42">
        <f t="shared" si="10"/>
        <v>-3.493661999999995E-3</v>
      </c>
      <c r="L258" s="40">
        <f t="shared" si="11"/>
        <v>2.2518943E-2</v>
      </c>
    </row>
    <row r="259" spans="1:12" x14ac:dyDescent="0.2">
      <c r="A259" s="2">
        <v>44926</v>
      </c>
      <c r="B259" s="9">
        <v>2.9564476000000002</v>
      </c>
      <c r="C259" s="9">
        <v>3.6191998000000001</v>
      </c>
      <c r="D259" s="9">
        <v>6.1983449999999998</v>
      </c>
      <c r="E259" s="9">
        <v>6.4108349999999996</v>
      </c>
      <c r="F259" s="9">
        <v>1.4839478237892125</v>
      </c>
      <c r="G259" s="9">
        <v>1.3231142606487591</v>
      </c>
      <c r="H259" s="9">
        <v>-1.1900393</v>
      </c>
      <c r="I259" s="9">
        <v>-3.4419336</v>
      </c>
      <c r="J259" s="38">
        <f t="shared" si="9"/>
        <v>-6.6275219999999994E-3</v>
      </c>
      <c r="K259" s="42">
        <f t="shared" si="10"/>
        <v>-2.1248999999999986E-3</v>
      </c>
      <c r="L259" s="40">
        <f t="shared" si="11"/>
        <v>2.2518943E-2</v>
      </c>
    </row>
    <row r="260" spans="1:12" x14ac:dyDescent="0.2">
      <c r="A260" s="2">
        <v>44957</v>
      </c>
      <c r="B260" s="9">
        <v>2.9430603999999998</v>
      </c>
      <c r="C260" s="9">
        <v>3.537455</v>
      </c>
      <c r="D260" s="9">
        <v>5.8783317000000004</v>
      </c>
      <c r="E260" s="9">
        <v>6.3402944000000003</v>
      </c>
      <c r="F260" s="9">
        <v>1.4839478237892125</v>
      </c>
      <c r="G260" s="9">
        <v>1.3231142606487591</v>
      </c>
      <c r="H260" s="9">
        <v>-0.54274230000000001</v>
      </c>
      <c r="I260" s="9">
        <v>-3.3582236999999999</v>
      </c>
      <c r="J260" s="38">
        <f t="shared" ref="J260:J271" si="12">(B260-C260)/100</f>
        <v>-5.943946000000002E-3</v>
      </c>
      <c r="K260" s="42">
        <f t="shared" ref="K260:K271" si="13">(D260-E260)/100</f>
        <v>-4.6196269999999994E-3</v>
      </c>
      <c r="L260" s="40">
        <f t="shared" ref="L260:L271" si="14">(H260-I260)/100</f>
        <v>2.8154814E-2</v>
      </c>
    </row>
    <row r="261" spans="1:12" x14ac:dyDescent="0.2">
      <c r="A261" s="2">
        <v>44985</v>
      </c>
      <c r="B261" s="9">
        <v>3.1762264</v>
      </c>
      <c r="C261" s="9">
        <v>3.7467787000000001</v>
      </c>
      <c r="D261" s="9">
        <v>5.3632080000000002</v>
      </c>
      <c r="E261" s="9">
        <v>5.9576520000000004</v>
      </c>
      <c r="F261" s="9">
        <v>1.4839478237892125</v>
      </c>
      <c r="G261" s="9">
        <v>1.3231142606487591</v>
      </c>
      <c r="H261" s="9">
        <v>-0.54274230000000001</v>
      </c>
      <c r="I261" s="9">
        <v>-3.3582236999999999</v>
      </c>
      <c r="J261" s="38">
        <f t="shared" si="12"/>
        <v>-5.7055230000000014E-3</v>
      </c>
      <c r="K261" s="42">
        <f t="shared" si="13"/>
        <v>-5.9444400000000022E-3</v>
      </c>
      <c r="L261" s="40">
        <f t="shared" si="14"/>
        <v>2.8154814E-2</v>
      </c>
    </row>
    <row r="262" spans="1:12" x14ac:dyDescent="0.2">
      <c r="A262" s="2">
        <v>45016</v>
      </c>
      <c r="B262" s="9">
        <v>2.9968344999999998</v>
      </c>
      <c r="C262" s="9">
        <v>3.6637911999999999</v>
      </c>
      <c r="D262" s="9">
        <v>4.3653464</v>
      </c>
      <c r="E262" s="9">
        <v>4.9313560000000001</v>
      </c>
      <c r="F262" s="9">
        <v>1.5012085667235353</v>
      </c>
      <c r="G262" s="9">
        <v>1.4859139132822665</v>
      </c>
      <c r="H262" s="9">
        <v>-0.54274239999999996</v>
      </c>
      <c r="I262" s="9">
        <v>-3.3582236999999999</v>
      </c>
      <c r="J262" s="38">
        <f t="shared" si="12"/>
        <v>-6.6695670000000004E-3</v>
      </c>
      <c r="K262" s="42">
        <f t="shared" si="13"/>
        <v>-5.6600960000000007E-3</v>
      </c>
      <c r="L262" s="40">
        <f t="shared" si="14"/>
        <v>2.8154813000000001E-2</v>
      </c>
    </row>
    <row r="263" spans="1:12" x14ac:dyDescent="0.2">
      <c r="A263" s="2">
        <v>45046</v>
      </c>
      <c r="B263" s="9">
        <v>2.9035578000000002</v>
      </c>
      <c r="C263" s="9">
        <v>3.4607475000000001</v>
      </c>
      <c r="D263" s="9">
        <v>4.4176849999999996</v>
      </c>
      <c r="E263" s="9">
        <v>4.9469529999999997</v>
      </c>
      <c r="F263" s="9">
        <v>1.5012085667235353</v>
      </c>
      <c r="G263" s="9">
        <v>1.4859139132822665</v>
      </c>
      <c r="H263" s="9">
        <v>-0.81462049999999997</v>
      </c>
      <c r="I263" s="9">
        <v>-3.4224608000000001</v>
      </c>
      <c r="J263" s="38">
        <f t="shared" si="12"/>
        <v>-5.5718969999999993E-3</v>
      </c>
      <c r="K263" s="42">
        <f t="shared" si="13"/>
        <v>-5.292680000000001E-3</v>
      </c>
      <c r="L263" s="40">
        <f t="shared" si="14"/>
        <v>2.6078403000000003E-2</v>
      </c>
    </row>
    <row r="264" spans="1:12" x14ac:dyDescent="0.2">
      <c r="A264" s="2">
        <v>45077</v>
      </c>
      <c r="B264" s="9">
        <v>3.040918</v>
      </c>
      <c r="C264" s="9">
        <v>3.5704956000000001</v>
      </c>
      <c r="D264" s="9">
        <v>3.3090619999999999</v>
      </c>
      <c r="E264" s="9">
        <v>4.1253120000000001</v>
      </c>
      <c r="F264" s="9">
        <v>1.5012085667235353</v>
      </c>
      <c r="G264" s="9">
        <v>1.4859139132822665</v>
      </c>
      <c r="H264" s="9">
        <v>-0.81462040000000002</v>
      </c>
      <c r="I264" s="9">
        <v>-3.4224608000000001</v>
      </c>
      <c r="J264" s="38">
        <f t="shared" si="12"/>
        <v>-5.2957760000000012E-3</v>
      </c>
      <c r="K264" s="42">
        <f t="shared" si="13"/>
        <v>-8.1625000000000014E-3</v>
      </c>
      <c r="L264" s="40">
        <f t="shared" si="14"/>
        <v>2.6078404000000003E-2</v>
      </c>
    </row>
    <row r="265" spans="1:12" x14ac:dyDescent="0.2">
      <c r="A265" s="2">
        <v>45107</v>
      </c>
      <c r="B265" s="9">
        <v>3.3383052000000002</v>
      </c>
      <c r="C265" s="9">
        <v>3.7449479999999999</v>
      </c>
      <c r="D265" s="9">
        <v>2.8252404000000002</v>
      </c>
      <c r="E265" s="9">
        <v>3.0592641999999999</v>
      </c>
      <c r="F265" s="9">
        <v>1.3824114352368311</v>
      </c>
      <c r="G265" s="9">
        <v>1.5644992290422672</v>
      </c>
      <c r="H265" s="9">
        <v>-0.81462049999999997</v>
      </c>
      <c r="I265" s="9">
        <v>-3.4224608000000001</v>
      </c>
      <c r="J265" s="38">
        <f t="shared" si="12"/>
        <v>-4.0664279999999978E-3</v>
      </c>
      <c r="K265" s="42">
        <f t="shared" si="13"/>
        <v>-2.3402379999999967E-3</v>
      </c>
      <c r="L265" s="40">
        <f t="shared" si="14"/>
        <v>2.6078403000000003E-2</v>
      </c>
    </row>
    <row r="266" spans="1:12" x14ac:dyDescent="0.2">
      <c r="A266" s="2">
        <v>45138</v>
      </c>
      <c r="B266" s="9">
        <v>3.4523697000000002</v>
      </c>
      <c r="C266" s="9">
        <v>3.8947845000000001</v>
      </c>
      <c r="D266" s="9">
        <v>3.2851577000000001</v>
      </c>
      <c r="E266" s="9">
        <v>3.2803249999999999</v>
      </c>
      <c r="F266" s="9">
        <v>1.3824114352368311</v>
      </c>
      <c r="G266" s="9">
        <v>1.5644992290422672</v>
      </c>
      <c r="H266" s="9">
        <v>-1.0845875</v>
      </c>
      <c r="I266" s="9">
        <v>-3.1578145000000002</v>
      </c>
      <c r="J266" s="38">
        <f t="shared" si="12"/>
        <v>-4.4241479999999993E-3</v>
      </c>
      <c r="K266" s="42">
        <f t="shared" si="13"/>
        <v>4.8327000000001342E-5</v>
      </c>
      <c r="L266" s="40">
        <f t="shared" si="14"/>
        <v>2.0732270000000001E-2</v>
      </c>
    </row>
    <row r="267" spans="1:12" x14ac:dyDescent="0.2">
      <c r="A267" s="2">
        <v>45169</v>
      </c>
      <c r="B267" s="9">
        <v>3.6522260000000002</v>
      </c>
      <c r="C267" s="9">
        <v>4.1641783999999999</v>
      </c>
      <c r="D267" s="9">
        <v>4.0105205000000002</v>
      </c>
      <c r="E267" s="9">
        <v>3.7186370000000002</v>
      </c>
      <c r="F267" s="9">
        <v>1.3824114352368311</v>
      </c>
      <c r="G267" s="9">
        <v>1.5644992290422672</v>
      </c>
      <c r="H267" s="9">
        <v>-1.0845875</v>
      </c>
      <c r="I267" s="9">
        <v>-3.1578145000000002</v>
      </c>
      <c r="J267" s="38">
        <f t="shared" si="12"/>
        <v>-5.1195239999999977E-3</v>
      </c>
      <c r="K267" s="42">
        <f t="shared" si="13"/>
        <v>2.9188349999999998E-3</v>
      </c>
      <c r="L267" s="40">
        <f t="shared" si="14"/>
        <v>2.0732270000000001E-2</v>
      </c>
    </row>
    <row r="268" spans="1:12" x14ac:dyDescent="0.2">
      <c r="A268" s="2">
        <v>45199</v>
      </c>
      <c r="B268" s="9">
        <v>3.8163447000000001</v>
      </c>
      <c r="C268" s="9">
        <v>4.3754400000000002</v>
      </c>
      <c r="D268" s="9">
        <v>3.7958159999999999</v>
      </c>
      <c r="E268" s="9">
        <v>3.6950726999999999</v>
      </c>
      <c r="F268" s="9">
        <v>1.2365307119289921</v>
      </c>
      <c r="G268" s="9">
        <v>1.61804486484068</v>
      </c>
      <c r="H268" s="9">
        <v>-1.0845876000000001</v>
      </c>
      <c r="I268" s="9">
        <v>-3.1578145000000002</v>
      </c>
      <c r="J268" s="38">
        <f t="shared" si="12"/>
        <v>-5.5909530000000009E-3</v>
      </c>
      <c r="K268" s="42">
        <f t="shared" si="13"/>
        <v>1.0074329999999999E-3</v>
      </c>
      <c r="L268" s="40">
        <f t="shared" si="14"/>
        <v>2.0732268999999998E-2</v>
      </c>
    </row>
    <row r="269" spans="1:12" x14ac:dyDescent="0.2">
      <c r="A269" s="2">
        <v>45230</v>
      </c>
      <c r="B269" s="9">
        <v>4.0717730000000003</v>
      </c>
      <c r="C269" s="9">
        <v>4.7937775</v>
      </c>
      <c r="D269" s="9">
        <v>3.1229680000000002</v>
      </c>
      <c r="E269" s="9">
        <v>3.2465397999999999</v>
      </c>
      <c r="F269" s="9">
        <v>1.2365307119289921</v>
      </c>
      <c r="G269" s="9">
        <v>1.61804486484068</v>
      </c>
      <c r="H269" s="9">
        <v>-7.4086029999999997E-2</v>
      </c>
      <c r="I269" s="9">
        <v>-3.4526910000000002</v>
      </c>
      <c r="J269" s="38">
        <f t="shared" si="12"/>
        <v>-7.220044999999997E-3</v>
      </c>
      <c r="K269" s="42">
        <f t="shared" si="13"/>
        <v>-1.2357179999999968E-3</v>
      </c>
      <c r="L269" s="40">
        <f t="shared" si="14"/>
        <v>3.3786049700000001E-2</v>
      </c>
    </row>
    <row r="270" spans="1:12" x14ac:dyDescent="0.2">
      <c r="A270" s="2">
        <v>45260</v>
      </c>
      <c r="B270" s="9">
        <v>3.7225475000000001</v>
      </c>
      <c r="C270" s="9">
        <v>4.4996805000000002</v>
      </c>
      <c r="D270" s="9">
        <v>3.0460129</v>
      </c>
      <c r="E270" s="9">
        <v>3.1398568</v>
      </c>
      <c r="F270" s="9">
        <v>1.2365307119289921</v>
      </c>
      <c r="G270" s="9">
        <v>1.61804486484068</v>
      </c>
      <c r="H270" s="9">
        <v>-7.4086029999999997E-2</v>
      </c>
      <c r="I270" s="9">
        <v>-3.4526910000000002</v>
      </c>
      <c r="J270" s="38">
        <f t="shared" si="12"/>
        <v>-7.7713300000000008E-3</v>
      </c>
      <c r="K270" s="42">
        <f t="shared" si="13"/>
        <v>-9.3843899999999979E-4</v>
      </c>
      <c r="L270" s="40">
        <f t="shared" si="14"/>
        <v>3.3786049700000001E-2</v>
      </c>
    </row>
    <row r="271" spans="1:12" x14ac:dyDescent="0.2">
      <c r="A271" s="2">
        <v>45291</v>
      </c>
      <c r="B271" s="9">
        <v>3.2400150000000001</v>
      </c>
      <c r="C271" s="9">
        <v>4.0181040000000001</v>
      </c>
      <c r="D271" s="9">
        <v>3.3722441000000001</v>
      </c>
      <c r="E271" s="9">
        <v>3.3221896000000002</v>
      </c>
      <c r="F271" s="9">
        <v>1.3030517259874399</v>
      </c>
      <c r="G271" s="9">
        <v>1.6129424733692632</v>
      </c>
      <c r="H271" s="9">
        <v>-7.4086040000000006E-2</v>
      </c>
      <c r="I271" s="9">
        <v>-3.4526910000000002</v>
      </c>
      <c r="J271" s="38">
        <f t="shared" si="12"/>
        <v>-7.7808900000000004E-3</v>
      </c>
      <c r="K271" s="42">
        <f t="shared" si="13"/>
        <v>5.0054499999999894E-4</v>
      </c>
      <c r="L271" s="40">
        <f t="shared" si="14"/>
        <v>3.37860496E-2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4ADA-5174-D847-8FF7-EED42C32BFA7}">
  <dimension ref="A1:L271"/>
  <sheetViews>
    <sheetView zoomScale="89" workbookViewId="0">
      <selection activeCell="N26" sqref="N26"/>
    </sheetView>
  </sheetViews>
  <sheetFormatPr baseColWidth="10" defaultRowHeight="16" x14ac:dyDescent="0.2"/>
  <cols>
    <col min="10" max="10" width="22" bestFit="1" customWidth="1"/>
    <col min="11" max="11" width="22.5" bestFit="1" customWidth="1"/>
    <col min="12" max="12" width="24.83203125" bestFit="1" customWidth="1"/>
  </cols>
  <sheetData>
    <row r="1" spans="1:12" x14ac:dyDescent="0.2">
      <c r="B1" s="50" t="s">
        <v>46</v>
      </c>
      <c r="C1" s="50"/>
      <c r="D1" s="50" t="s">
        <v>49</v>
      </c>
      <c r="E1" s="50"/>
      <c r="F1" s="50" t="s">
        <v>50</v>
      </c>
      <c r="G1" s="50"/>
      <c r="H1" s="50" t="s">
        <v>47</v>
      </c>
      <c r="I1" s="50"/>
    </row>
    <row r="2" spans="1:12" x14ac:dyDescent="0.2">
      <c r="A2" s="4" t="s">
        <v>0</v>
      </c>
      <c r="B2" t="s">
        <v>53</v>
      </c>
      <c r="C2" t="s">
        <v>52</v>
      </c>
      <c r="D2" t="s">
        <v>53</v>
      </c>
      <c r="E2" t="s">
        <v>52</v>
      </c>
      <c r="F2" t="s">
        <v>53</v>
      </c>
      <c r="G2" t="s">
        <v>52</v>
      </c>
      <c r="H2" t="s">
        <v>53</v>
      </c>
      <c r="I2" t="s">
        <v>52</v>
      </c>
      <c r="J2" s="37" t="s">
        <v>54</v>
      </c>
      <c r="K2" s="41" t="s">
        <v>55</v>
      </c>
      <c r="L2" s="39" t="s">
        <v>56</v>
      </c>
    </row>
    <row r="3" spans="1:12" x14ac:dyDescent="0.2">
      <c r="A3" s="2">
        <v>37134</v>
      </c>
      <c r="B3" s="9">
        <v>5.0883950000000002</v>
      </c>
      <c r="C3" s="9">
        <v>4.9713054000000003</v>
      </c>
      <c r="D3" s="9">
        <v>2.8755799999999998</v>
      </c>
      <c r="E3" s="9">
        <v>2.7214849999999999</v>
      </c>
      <c r="F3" s="9">
        <v>1.4973390453010034</v>
      </c>
      <c r="G3" s="9">
        <v>1.2591457214265001</v>
      </c>
      <c r="H3" s="9">
        <v>-0.56094279999999996</v>
      </c>
      <c r="I3" s="9">
        <v>-3.9039369000000002</v>
      </c>
      <c r="J3" s="38">
        <f>(B3-C3)/100</f>
        <v>1.170895999999999E-3</v>
      </c>
      <c r="K3" s="42">
        <f>(D3-E3)/100</f>
        <v>1.5409499999999986E-3</v>
      </c>
      <c r="L3" s="40">
        <f>(H3-I3)/100</f>
        <v>3.3429941000000005E-2</v>
      </c>
    </row>
    <row r="4" spans="1:12" x14ac:dyDescent="0.2">
      <c r="A4" s="2">
        <v>37164</v>
      </c>
      <c r="B4" s="9">
        <v>5.0828090000000001</v>
      </c>
      <c r="C4" s="9">
        <v>4.7486670000000002</v>
      </c>
      <c r="D4" s="9">
        <v>2.6069399999999998</v>
      </c>
      <c r="E4" s="9">
        <v>2.5921675999999998</v>
      </c>
      <c r="F4" s="9">
        <v>1.4222069925895569</v>
      </c>
      <c r="G4" s="9">
        <v>1.141969952374811</v>
      </c>
      <c r="H4" s="9">
        <v>-1.1257765</v>
      </c>
      <c r="I4" s="9">
        <v>-3.9039369000000002</v>
      </c>
      <c r="J4" s="38">
        <f t="shared" ref="J4:J67" si="0">(B4-C4)/100</f>
        <v>3.3414199999999995E-3</v>
      </c>
      <c r="K4" s="42">
        <f t="shared" ref="K4:K67" si="1">(D4-E4)/100</f>
        <v>1.477240000000002E-4</v>
      </c>
      <c r="L4" s="40">
        <f t="shared" ref="L4:L67" si="2">(H4-I4)/100</f>
        <v>2.7781604000000001E-2</v>
      </c>
    </row>
    <row r="5" spans="1:12" x14ac:dyDescent="0.2">
      <c r="A5" s="2">
        <v>37195</v>
      </c>
      <c r="B5" s="9">
        <v>4.8546543</v>
      </c>
      <c r="C5" s="9">
        <v>4.5647820000000001</v>
      </c>
      <c r="D5" s="9">
        <v>2.4585998</v>
      </c>
      <c r="E5" s="9">
        <v>2.1276760000000001</v>
      </c>
      <c r="F5" s="9">
        <v>1.4222069925895569</v>
      </c>
      <c r="G5" s="9">
        <v>1.141969952374811</v>
      </c>
      <c r="H5" s="9">
        <v>-0.34485450000000001</v>
      </c>
      <c r="I5" s="9">
        <v>-3.3117877999999998</v>
      </c>
      <c r="J5" s="38">
        <f t="shared" si="0"/>
        <v>2.8987229999999985E-3</v>
      </c>
      <c r="K5" s="42">
        <f t="shared" si="1"/>
        <v>3.3092379999999986E-3</v>
      </c>
      <c r="L5" s="40">
        <f t="shared" si="2"/>
        <v>2.9669332999999999E-2</v>
      </c>
    </row>
    <row r="6" spans="1:12" x14ac:dyDescent="0.2">
      <c r="A6" s="2">
        <v>37225</v>
      </c>
      <c r="B6" s="9">
        <v>4.6983223000000001</v>
      </c>
      <c r="C6" s="9">
        <v>4.6366677000000003</v>
      </c>
      <c r="D6" s="9">
        <v>2.1403086</v>
      </c>
      <c r="E6" s="9">
        <v>1.8943809</v>
      </c>
      <c r="F6" s="9">
        <v>1.4222069925895569</v>
      </c>
      <c r="G6" s="9">
        <v>1.141969952374811</v>
      </c>
      <c r="H6" s="9">
        <v>-0.56336945000000005</v>
      </c>
      <c r="I6" s="9">
        <v>-3.3117877999999998</v>
      </c>
      <c r="J6" s="38">
        <f t="shared" si="0"/>
        <v>6.1654599999999777E-4</v>
      </c>
      <c r="K6" s="42">
        <f t="shared" si="1"/>
        <v>2.4592769999999997E-3</v>
      </c>
      <c r="L6" s="40">
        <f t="shared" si="2"/>
        <v>2.7484183499999995E-2</v>
      </c>
    </row>
    <row r="7" spans="1:12" x14ac:dyDescent="0.2">
      <c r="A7" s="2">
        <v>37256</v>
      </c>
      <c r="B7" s="9">
        <v>4.9492609999999999</v>
      </c>
      <c r="C7" s="9">
        <v>5.0875006000000003</v>
      </c>
      <c r="D7" s="9">
        <v>2.2443707000000002</v>
      </c>
      <c r="E7" s="9">
        <v>1.6036576</v>
      </c>
      <c r="F7" s="9">
        <v>1.3253247951841249</v>
      </c>
      <c r="G7" s="9">
        <v>1.0529205763641196</v>
      </c>
      <c r="H7" s="9">
        <v>0.43953629999999999</v>
      </c>
      <c r="I7" s="9">
        <v>-3.3117877999999998</v>
      </c>
      <c r="J7" s="38">
        <f t="shared" si="0"/>
        <v>-1.3823960000000036E-3</v>
      </c>
      <c r="K7" s="42">
        <f t="shared" si="1"/>
        <v>6.4071310000000017E-3</v>
      </c>
      <c r="L7" s="40">
        <f t="shared" si="2"/>
        <v>3.7513240999999996E-2</v>
      </c>
    </row>
    <row r="8" spans="1:12" x14ac:dyDescent="0.2">
      <c r="A8" s="2">
        <v>37287</v>
      </c>
      <c r="B8" s="9">
        <v>5.0336857000000004</v>
      </c>
      <c r="C8" s="9">
        <v>5.0357139999999996</v>
      </c>
      <c r="D8" s="9">
        <v>1.7860461000000001</v>
      </c>
      <c r="E8" s="9">
        <v>1.1958937999999999</v>
      </c>
      <c r="F8" s="9">
        <v>1.3253247951841249</v>
      </c>
      <c r="G8" s="9">
        <v>1.0529205763641196</v>
      </c>
      <c r="H8" s="9">
        <v>-0.121016815</v>
      </c>
      <c r="I8" s="9">
        <v>-3.8061113</v>
      </c>
      <c r="J8" s="38">
        <f t="shared" si="0"/>
        <v>-2.0282999999992057E-5</v>
      </c>
      <c r="K8" s="42">
        <f t="shared" si="1"/>
        <v>5.9015230000000023E-3</v>
      </c>
      <c r="L8" s="40">
        <f t="shared" si="2"/>
        <v>3.6850944849999998E-2</v>
      </c>
    </row>
    <row r="9" spans="1:12" x14ac:dyDescent="0.2">
      <c r="A9" s="2">
        <v>37315</v>
      </c>
      <c r="B9" s="9">
        <v>5.0969085999999999</v>
      </c>
      <c r="C9" s="9">
        <v>4.9115789999999997</v>
      </c>
      <c r="D9" s="9">
        <v>1.5675459</v>
      </c>
      <c r="E9" s="9">
        <v>1.1363616000000001</v>
      </c>
      <c r="F9" s="9">
        <v>1.3253247951841249</v>
      </c>
      <c r="G9" s="9">
        <v>1.0529205763641196</v>
      </c>
      <c r="H9" s="9">
        <v>6.4054187000000002E-3</v>
      </c>
      <c r="I9" s="9">
        <v>-3.8061113</v>
      </c>
      <c r="J9" s="38">
        <f t="shared" si="0"/>
        <v>1.8532960000000021E-3</v>
      </c>
      <c r="K9" s="42">
        <f t="shared" si="1"/>
        <v>4.3118429999999992E-3</v>
      </c>
      <c r="L9" s="40">
        <f t="shared" si="2"/>
        <v>3.8125167187E-2</v>
      </c>
    </row>
    <row r="10" spans="1:12" x14ac:dyDescent="0.2">
      <c r="A10" s="2">
        <v>37346</v>
      </c>
      <c r="B10" s="9">
        <v>5.3367649999999998</v>
      </c>
      <c r="C10" s="9">
        <v>5.2839993999999999</v>
      </c>
      <c r="D10" s="9">
        <v>1.7104794000000001</v>
      </c>
      <c r="E10" s="9">
        <v>1.3628697000000001</v>
      </c>
      <c r="F10" s="9">
        <v>1.1388061113511776</v>
      </c>
      <c r="G10" s="9">
        <v>1.3270984666617316</v>
      </c>
      <c r="H10" s="9">
        <v>4.3493178E-2</v>
      </c>
      <c r="I10" s="9">
        <v>-3.8061113</v>
      </c>
      <c r="J10" s="38">
        <f t="shared" si="0"/>
        <v>5.2765599999999853E-4</v>
      </c>
      <c r="K10" s="42">
        <f t="shared" si="1"/>
        <v>3.476097E-3</v>
      </c>
      <c r="L10" s="40">
        <f t="shared" si="2"/>
        <v>3.8496044779999995E-2</v>
      </c>
    </row>
    <row r="11" spans="1:12" x14ac:dyDescent="0.2">
      <c r="A11" s="2">
        <v>37376</v>
      </c>
      <c r="B11" s="9">
        <v>5.3342843000000002</v>
      </c>
      <c r="C11" s="9">
        <v>5.2109094000000002</v>
      </c>
      <c r="D11" s="9">
        <v>1.659734</v>
      </c>
      <c r="E11" s="9">
        <v>1.6439961000000001</v>
      </c>
      <c r="F11" s="9">
        <v>1.1388061113511776</v>
      </c>
      <c r="G11" s="9">
        <v>1.3270984666617316</v>
      </c>
      <c r="H11" s="9">
        <v>-1.0781088000000001</v>
      </c>
      <c r="I11" s="9">
        <v>-4.2128835000000002</v>
      </c>
      <c r="J11" s="38">
        <f t="shared" si="0"/>
        <v>1.2337489999999995E-3</v>
      </c>
      <c r="K11" s="42">
        <f t="shared" si="1"/>
        <v>1.573789999999997E-4</v>
      </c>
      <c r="L11" s="40">
        <f t="shared" si="2"/>
        <v>3.1347747000000002E-2</v>
      </c>
    </row>
    <row r="12" spans="1:12" x14ac:dyDescent="0.2">
      <c r="A12" s="2">
        <v>37407</v>
      </c>
      <c r="B12" s="9">
        <v>5.3520082999999996</v>
      </c>
      <c r="C12" s="9">
        <v>5.1645459999999996</v>
      </c>
      <c r="D12" s="9">
        <v>1.2577825</v>
      </c>
      <c r="E12" s="9">
        <v>1.2408334000000001</v>
      </c>
      <c r="F12" s="9">
        <v>1.1388061113511776</v>
      </c>
      <c r="G12" s="9">
        <v>1.3270984666617316</v>
      </c>
      <c r="H12" s="9">
        <v>7.0559239999999995E-2</v>
      </c>
      <c r="I12" s="9">
        <v>-4.2128835000000002</v>
      </c>
      <c r="J12" s="38">
        <f t="shared" si="0"/>
        <v>1.8746229999999997E-3</v>
      </c>
      <c r="K12" s="42">
        <f t="shared" si="1"/>
        <v>1.694909999999994E-4</v>
      </c>
      <c r="L12" s="40">
        <f t="shared" si="2"/>
        <v>4.28344274E-2</v>
      </c>
    </row>
    <row r="13" spans="1:12" x14ac:dyDescent="0.2">
      <c r="A13" s="2">
        <v>37437</v>
      </c>
      <c r="B13" s="9">
        <v>5.2088374999999996</v>
      </c>
      <c r="C13" s="9">
        <v>4.9264989999999997</v>
      </c>
      <c r="D13" s="9">
        <v>1.1132432999999999</v>
      </c>
      <c r="E13" s="9">
        <v>1.0692196</v>
      </c>
      <c r="F13" s="9">
        <v>1.2344111558495705</v>
      </c>
      <c r="G13" s="9">
        <v>1.324840982459214</v>
      </c>
      <c r="H13" s="9">
        <v>9.4929139999999995E-2</v>
      </c>
      <c r="I13" s="9">
        <v>-4.2128835000000002</v>
      </c>
      <c r="J13" s="38">
        <f t="shared" si="0"/>
        <v>2.8233849999999981E-3</v>
      </c>
      <c r="K13" s="42">
        <f t="shared" si="1"/>
        <v>4.4023699999999887E-4</v>
      </c>
      <c r="L13" s="40">
        <f t="shared" si="2"/>
        <v>4.30781264E-2</v>
      </c>
    </row>
    <row r="14" spans="1:12" x14ac:dyDescent="0.2">
      <c r="A14" s="2">
        <v>37468</v>
      </c>
      <c r="B14" s="9">
        <v>5.0503062999999999</v>
      </c>
      <c r="C14" s="9">
        <v>4.6531824999999998</v>
      </c>
      <c r="D14" s="9">
        <v>1.1828874</v>
      </c>
      <c r="E14" s="9">
        <v>1.4656144</v>
      </c>
      <c r="F14" s="9">
        <v>1.2344111558495705</v>
      </c>
      <c r="G14" s="9">
        <v>1.324840982459214</v>
      </c>
      <c r="H14" s="9">
        <v>0.66772854000000004</v>
      </c>
      <c r="I14" s="9">
        <v>-4.1825776000000001</v>
      </c>
      <c r="J14" s="38">
        <f t="shared" si="0"/>
        <v>3.9712380000000011E-3</v>
      </c>
      <c r="K14" s="42">
        <f t="shared" si="1"/>
        <v>-2.8272699999999993E-3</v>
      </c>
      <c r="L14" s="40">
        <f t="shared" si="2"/>
        <v>4.8503061399999998E-2</v>
      </c>
    </row>
    <row r="15" spans="1:12" x14ac:dyDescent="0.2">
      <c r="A15" s="2">
        <v>37499</v>
      </c>
      <c r="B15" s="9">
        <v>4.7775569999999998</v>
      </c>
      <c r="C15" s="9">
        <v>4.2572726999999997</v>
      </c>
      <c r="D15" s="9">
        <v>1.2283818</v>
      </c>
      <c r="E15" s="9">
        <v>1.7474692000000001</v>
      </c>
      <c r="F15" s="9">
        <v>1.2344111558495705</v>
      </c>
      <c r="G15" s="9">
        <v>1.324840982459214</v>
      </c>
      <c r="H15" s="9">
        <v>0.68343662999999999</v>
      </c>
      <c r="I15" s="9">
        <v>-4.1825776000000001</v>
      </c>
      <c r="J15" s="38">
        <f t="shared" si="0"/>
        <v>5.2028430000000013E-3</v>
      </c>
      <c r="K15" s="42">
        <f t="shared" si="1"/>
        <v>-5.1908740000000007E-3</v>
      </c>
      <c r="L15" s="40">
        <f t="shared" si="2"/>
        <v>4.8660142300000001E-2</v>
      </c>
    </row>
    <row r="16" spans="1:12" x14ac:dyDescent="0.2">
      <c r="A16" s="2">
        <v>37529</v>
      </c>
      <c r="B16" s="9">
        <v>4.5651817000000001</v>
      </c>
      <c r="C16" s="9">
        <v>3.8700000999999999</v>
      </c>
      <c r="D16" s="9">
        <v>1.2265089</v>
      </c>
      <c r="E16" s="9">
        <v>1.5159982000000001</v>
      </c>
      <c r="F16" s="9">
        <v>1.2879614056179771</v>
      </c>
      <c r="G16" s="9">
        <v>1.4653559921838923</v>
      </c>
      <c r="H16" s="9">
        <v>0.6868959</v>
      </c>
      <c r="I16" s="9">
        <v>-4.1825776000000001</v>
      </c>
      <c r="J16" s="38">
        <f t="shared" si="0"/>
        <v>6.9518160000000022E-3</v>
      </c>
      <c r="K16" s="42">
        <f t="shared" si="1"/>
        <v>-2.8948930000000008E-3</v>
      </c>
      <c r="L16" s="40">
        <f t="shared" si="2"/>
        <v>4.8694734999999996E-2</v>
      </c>
    </row>
    <row r="17" spans="1:12" x14ac:dyDescent="0.2">
      <c r="A17" s="2">
        <v>37560</v>
      </c>
      <c r="B17" s="9">
        <v>4.6480937000000004</v>
      </c>
      <c r="C17" s="9">
        <v>3.9360870000000001</v>
      </c>
      <c r="D17" s="9">
        <v>1.4312098</v>
      </c>
      <c r="E17" s="9">
        <v>2.0270133000000001</v>
      </c>
      <c r="F17" s="9">
        <v>1.2879614056179771</v>
      </c>
      <c r="G17" s="9">
        <v>1.4653559921838923</v>
      </c>
      <c r="H17" s="9">
        <v>0.19672054</v>
      </c>
      <c r="I17" s="9">
        <v>-4.4831443000000002</v>
      </c>
      <c r="J17" s="38">
        <f t="shared" si="0"/>
        <v>7.1200670000000034E-3</v>
      </c>
      <c r="K17" s="42">
        <f t="shared" si="1"/>
        <v>-5.9580350000000013E-3</v>
      </c>
      <c r="L17" s="40">
        <f t="shared" si="2"/>
        <v>4.6798648400000004E-2</v>
      </c>
    </row>
    <row r="18" spans="1:12" x14ac:dyDescent="0.2">
      <c r="A18" s="2">
        <v>37590</v>
      </c>
      <c r="B18" s="9">
        <v>4.6233740000000001</v>
      </c>
      <c r="C18" s="9">
        <v>4.0385010000000001</v>
      </c>
      <c r="D18" s="9">
        <v>1.4835039999999999</v>
      </c>
      <c r="E18" s="9">
        <v>2.2535172000000001</v>
      </c>
      <c r="F18" s="9">
        <v>1.2879614056179771</v>
      </c>
      <c r="G18" s="9">
        <v>1.4653559921838923</v>
      </c>
      <c r="H18" s="9">
        <v>1.0494504</v>
      </c>
      <c r="I18" s="9">
        <v>-4.4831443000000002</v>
      </c>
      <c r="J18" s="38">
        <f t="shared" si="0"/>
        <v>5.8487299999999999E-3</v>
      </c>
      <c r="K18" s="42">
        <f t="shared" si="1"/>
        <v>-7.7001320000000019E-3</v>
      </c>
      <c r="L18" s="40">
        <f t="shared" si="2"/>
        <v>5.5325947000000007E-2</v>
      </c>
    </row>
    <row r="19" spans="1:12" x14ac:dyDescent="0.2">
      <c r="A19" s="2">
        <v>37621</v>
      </c>
      <c r="B19" s="9">
        <v>4.4526873</v>
      </c>
      <c r="C19" s="9">
        <v>4.032381</v>
      </c>
      <c r="D19" s="9">
        <v>1.4800187</v>
      </c>
      <c r="E19" s="9">
        <v>2.4802680000000001</v>
      </c>
      <c r="F19" s="9">
        <v>1.3324288442021908</v>
      </c>
      <c r="G19" s="9">
        <v>1.4410507056385571</v>
      </c>
      <c r="H19" s="9">
        <v>-0.49054310000000001</v>
      </c>
      <c r="I19" s="9">
        <v>-4.4831443000000002</v>
      </c>
      <c r="J19" s="38">
        <f t="shared" si="0"/>
        <v>4.2030629999999999E-3</v>
      </c>
      <c r="K19" s="42">
        <f t="shared" si="1"/>
        <v>-1.0002493000000001E-2</v>
      </c>
      <c r="L19" s="40">
        <f t="shared" si="2"/>
        <v>3.9926012000000004E-2</v>
      </c>
    </row>
    <row r="20" spans="1:12" x14ac:dyDescent="0.2">
      <c r="A20" s="2">
        <v>37652</v>
      </c>
      <c r="B20" s="9">
        <v>4.2829847000000001</v>
      </c>
      <c r="C20" s="9">
        <v>4.0485709999999999</v>
      </c>
      <c r="D20" s="9">
        <v>2.2703191999999999</v>
      </c>
      <c r="E20" s="9">
        <v>2.7574510000000001</v>
      </c>
      <c r="F20" s="9">
        <v>1.3324288442021908</v>
      </c>
      <c r="G20" s="9">
        <v>1.4410507056385571</v>
      </c>
      <c r="H20" s="9">
        <v>-1.5306009</v>
      </c>
      <c r="I20" s="9">
        <v>-4.8455500000000002</v>
      </c>
      <c r="J20" s="38">
        <f t="shared" si="0"/>
        <v>2.3441370000000018E-3</v>
      </c>
      <c r="K20" s="42">
        <f t="shared" si="1"/>
        <v>-4.8713180000000021E-3</v>
      </c>
      <c r="L20" s="40">
        <f t="shared" si="2"/>
        <v>3.3149491000000003E-2</v>
      </c>
    </row>
    <row r="21" spans="1:12" x14ac:dyDescent="0.2">
      <c r="A21" s="2">
        <v>37680</v>
      </c>
      <c r="B21" s="9">
        <v>4.0762824999999996</v>
      </c>
      <c r="C21" s="9">
        <v>3.9026318</v>
      </c>
      <c r="D21" s="9">
        <v>2.3603825999999999</v>
      </c>
      <c r="E21" s="9">
        <v>3.1460688000000001</v>
      </c>
      <c r="F21" s="9">
        <v>1.3324288442021908</v>
      </c>
      <c r="G21" s="9">
        <v>1.4410507056385571</v>
      </c>
      <c r="H21" s="9">
        <v>-0.53097530000000004</v>
      </c>
      <c r="I21" s="9">
        <v>-4.8455500000000002</v>
      </c>
      <c r="J21" s="38">
        <f t="shared" si="0"/>
        <v>1.7365069999999961E-3</v>
      </c>
      <c r="K21" s="42">
        <f t="shared" si="1"/>
        <v>-7.8568620000000026E-3</v>
      </c>
      <c r="L21" s="40">
        <f t="shared" si="2"/>
        <v>4.3145747000000005E-2</v>
      </c>
    </row>
    <row r="22" spans="1:12" x14ac:dyDescent="0.2">
      <c r="A22" s="2">
        <v>37711</v>
      </c>
      <c r="B22" s="9">
        <v>4.127408</v>
      </c>
      <c r="C22" s="9">
        <v>3.8071427</v>
      </c>
      <c r="D22" s="9">
        <v>2.3629098000000002</v>
      </c>
      <c r="E22" s="9">
        <v>3.0251937</v>
      </c>
      <c r="F22" s="9">
        <v>1.2340914712150564</v>
      </c>
      <c r="G22" s="9">
        <v>1.388899530964383</v>
      </c>
      <c r="H22" s="9">
        <v>-0.98370504000000003</v>
      </c>
      <c r="I22" s="9">
        <v>-4.8455500000000002</v>
      </c>
      <c r="J22" s="38">
        <f t="shared" si="0"/>
        <v>3.2026529999999998E-3</v>
      </c>
      <c r="K22" s="42">
        <f t="shared" si="1"/>
        <v>-6.6228389999999984E-3</v>
      </c>
      <c r="L22" s="40">
        <f t="shared" si="2"/>
        <v>3.86184496E-2</v>
      </c>
    </row>
    <row r="23" spans="1:12" x14ac:dyDescent="0.2">
      <c r="A23" s="2">
        <v>37741</v>
      </c>
      <c r="B23" s="9">
        <v>4.2654332999999998</v>
      </c>
      <c r="C23" s="9">
        <v>3.9585712000000002</v>
      </c>
      <c r="D23" s="9">
        <v>1.9940850999999999</v>
      </c>
      <c r="E23" s="9">
        <v>2.1751255999999999</v>
      </c>
      <c r="F23" s="9">
        <v>1.2340914712150564</v>
      </c>
      <c r="G23" s="9">
        <v>1.388899530964383</v>
      </c>
      <c r="H23" s="9">
        <v>-2.6353861999999999E-2</v>
      </c>
      <c r="I23" s="9">
        <v>-4.573099</v>
      </c>
      <c r="J23" s="38">
        <f t="shared" si="0"/>
        <v>3.0686209999999958E-3</v>
      </c>
      <c r="K23" s="42">
        <f t="shared" si="1"/>
        <v>-1.8104049999999993E-3</v>
      </c>
      <c r="L23" s="40">
        <f t="shared" si="2"/>
        <v>4.5467451380000003E-2</v>
      </c>
    </row>
    <row r="24" spans="1:12" x14ac:dyDescent="0.2">
      <c r="A24" s="2">
        <v>37772</v>
      </c>
      <c r="B24" s="9">
        <v>3.9689898000000001</v>
      </c>
      <c r="C24" s="9">
        <v>3.5690474999999999</v>
      </c>
      <c r="D24" s="9">
        <v>1.8268496000000001</v>
      </c>
      <c r="E24" s="9">
        <v>1.8941444999999999</v>
      </c>
      <c r="F24" s="9">
        <v>1.2340914712150564</v>
      </c>
      <c r="G24" s="9">
        <v>1.388899530964383</v>
      </c>
      <c r="H24" s="9">
        <v>0.16416207999999999</v>
      </c>
      <c r="I24" s="9">
        <v>-4.573099</v>
      </c>
      <c r="J24" s="38">
        <f t="shared" si="0"/>
        <v>3.9994230000000019E-3</v>
      </c>
      <c r="K24" s="42">
        <f t="shared" si="1"/>
        <v>-6.7294899999999821E-4</v>
      </c>
      <c r="L24" s="40">
        <f t="shared" si="2"/>
        <v>4.7372610799999999E-2</v>
      </c>
    </row>
    <row r="25" spans="1:12" x14ac:dyDescent="0.2">
      <c r="A25" s="2">
        <v>37802</v>
      </c>
      <c r="B25" s="9">
        <v>3.7724730000000002</v>
      </c>
      <c r="C25" s="9">
        <v>3.3342860000000001</v>
      </c>
      <c r="D25" s="9">
        <v>1.9524223000000001</v>
      </c>
      <c r="E25" s="9">
        <v>1.9487736</v>
      </c>
      <c r="F25" s="9">
        <v>1.1405294862611723</v>
      </c>
      <c r="G25" s="9">
        <v>1.4350122901171947</v>
      </c>
      <c r="H25" s="9">
        <v>-0.22925243000000001</v>
      </c>
      <c r="I25" s="9">
        <v>-4.573099</v>
      </c>
      <c r="J25" s="38">
        <f t="shared" si="0"/>
        <v>4.3818700000000013E-3</v>
      </c>
      <c r="K25" s="42">
        <f t="shared" si="1"/>
        <v>3.6487000000000601E-5</v>
      </c>
      <c r="L25" s="40">
        <f t="shared" si="2"/>
        <v>4.3438465700000005E-2</v>
      </c>
    </row>
    <row r="26" spans="1:12" x14ac:dyDescent="0.2">
      <c r="A26" s="2">
        <v>37833</v>
      </c>
      <c r="B26" s="9">
        <v>4.0787516000000004</v>
      </c>
      <c r="C26" s="9">
        <v>3.9754545999999999</v>
      </c>
      <c r="D26" s="9">
        <v>1.8026447999999999</v>
      </c>
      <c r="E26" s="9">
        <v>2.0555549000000002</v>
      </c>
      <c r="F26" s="9">
        <v>1.1405294862611723</v>
      </c>
      <c r="G26" s="9">
        <v>1.4350122901171947</v>
      </c>
      <c r="H26" s="9">
        <v>0.60942890000000005</v>
      </c>
      <c r="I26" s="9">
        <v>-4.4993069999999999</v>
      </c>
      <c r="J26" s="38">
        <f t="shared" si="0"/>
        <v>1.0329700000000041E-3</v>
      </c>
      <c r="K26" s="42">
        <f t="shared" si="1"/>
        <v>-2.5291010000000023E-3</v>
      </c>
      <c r="L26" s="40">
        <f t="shared" si="2"/>
        <v>5.1087358999999999E-2</v>
      </c>
    </row>
    <row r="27" spans="1:12" x14ac:dyDescent="0.2">
      <c r="A27" s="2">
        <v>37864</v>
      </c>
      <c r="B27" s="9">
        <v>4.2286229999999998</v>
      </c>
      <c r="C27" s="9">
        <v>4.4452375999999996</v>
      </c>
      <c r="D27" s="9">
        <v>1.9224943999999999</v>
      </c>
      <c r="E27" s="9">
        <v>2.2160625</v>
      </c>
      <c r="F27" s="9">
        <v>1.1405294862611723</v>
      </c>
      <c r="G27" s="9">
        <v>1.4350122901171947</v>
      </c>
      <c r="H27" s="9">
        <v>1.0805747999999999</v>
      </c>
      <c r="I27" s="9">
        <v>-4.4993069999999999</v>
      </c>
      <c r="J27" s="38">
        <f t="shared" si="0"/>
        <v>-2.1661459999999977E-3</v>
      </c>
      <c r="K27" s="42">
        <f t="shared" si="1"/>
        <v>-2.9356810000000012E-3</v>
      </c>
      <c r="L27" s="40">
        <f t="shared" si="2"/>
        <v>5.5798818E-2</v>
      </c>
    </row>
    <row r="28" spans="1:12" x14ac:dyDescent="0.2">
      <c r="A28" s="2">
        <v>37894</v>
      </c>
      <c r="B28" s="9">
        <v>4.2702850000000003</v>
      </c>
      <c r="C28" s="9">
        <v>4.2742867000000002</v>
      </c>
      <c r="D28" s="9">
        <v>1.9956254</v>
      </c>
      <c r="E28" s="9">
        <v>2.3783197</v>
      </c>
      <c r="F28" s="9">
        <v>1.1828885566860905</v>
      </c>
      <c r="G28" s="9">
        <v>1.6174069933868995</v>
      </c>
      <c r="H28" s="9">
        <v>0.85134200000000004</v>
      </c>
      <c r="I28" s="9">
        <v>-4.4993069999999999</v>
      </c>
      <c r="J28" s="38">
        <f t="shared" si="0"/>
        <v>-4.0016999999998861E-5</v>
      </c>
      <c r="K28" s="42">
        <f t="shared" si="1"/>
        <v>-3.8269430000000006E-3</v>
      </c>
      <c r="L28" s="40">
        <f t="shared" si="2"/>
        <v>5.3506489999999997E-2</v>
      </c>
    </row>
    <row r="29" spans="1:12" x14ac:dyDescent="0.2">
      <c r="A29" s="2">
        <v>37925</v>
      </c>
      <c r="B29" s="9">
        <v>4.3207170000000001</v>
      </c>
      <c r="C29" s="9">
        <v>4.2904353000000004</v>
      </c>
      <c r="D29" s="9">
        <v>1.9730638</v>
      </c>
      <c r="E29" s="9">
        <v>2.0419421</v>
      </c>
      <c r="F29" s="9">
        <v>1.1828885566860905</v>
      </c>
      <c r="G29" s="9">
        <v>1.6174069933868995</v>
      </c>
      <c r="H29" s="9">
        <v>1.3782634</v>
      </c>
      <c r="I29" s="9">
        <v>-4.3318877000000002</v>
      </c>
      <c r="J29" s="38">
        <f t="shared" si="0"/>
        <v>3.0281699999999744E-4</v>
      </c>
      <c r="K29" s="42">
        <f t="shared" si="1"/>
        <v>-6.8878299999999945E-4</v>
      </c>
      <c r="L29" s="40">
        <f t="shared" si="2"/>
        <v>5.7101511000000001E-2</v>
      </c>
    </row>
    <row r="30" spans="1:12" x14ac:dyDescent="0.2">
      <c r="A30" s="2">
        <v>37955</v>
      </c>
      <c r="B30" s="9">
        <v>4.442526</v>
      </c>
      <c r="C30" s="9">
        <v>4.3099999999999996</v>
      </c>
      <c r="D30" s="9">
        <v>2.0329936000000002</v>
      </c>
      <c r="E30" s="9">
        <v>1.9283735</v>
      </c>
      <c r="F30" s="9">
        <v>1.1828885566860905</v>
      </c>
      <c r="G30" s="9">
        <v>1.6174069933868995</v>
      </c>
      <c r="H30" s="9">
        <v>1.165249</v>
      </c>
      <c r="I30" s="9">
        <v>-4.3318877000000002</v>
      </c>
      <c r="J30" s="38">
        <f t="shared" si="0"/>
        <v>1.3252600000000037E-3</v>
      </c>
      <c r="K30" s="42">
        <f t="shared" si="1"/>
        <v>1.0462010000000022E-3</v>
      </c>
      <c r="L30" s="40">
        <f t="shared" si="2"/>
        <v>5.4971367000000007E-2</v>
      </c>
    </row>
    <row r="31" spans="1:12" x14ac:dyDescent="0.2">
      <c r="A31" s="2">
        <v>37986</v>
      </c>
      <c r="B31" s="9">
        <v>4.3881969999999999</v>
      </c>
      <c r="C31" s="9">
        <v>4.2677263999999999</v>
      </c>
      <c r="D31" s="9">
        <v>1.8668635</v>
      </c>
      <c r="E31" s="9">
        <v>2.0352027000000001</v>
      </c>
      <c r="F31" s="9">
        <v>1.2788175725944919</v>
      </c>
      <c r="G31" s="9">
        <v>1.7435616809942731</v>
      </c>
      <c r="H31" s="9">
        <v>1.1346402</v>
      </c>
      <c r="I31" s="9">
        <v>-4.3318877000000002</v>
      </c>
      <c r="J31" s="38">
        <f t="shared" si="0"/>
        <v>1.2047059999999998E-3</v>
      </c>
      <c r="K31" s="42">
        <f t="shared" si="1"/>
        <v>-1.6833920000000014E-3</v>
      </c>
      <c r="L31" s="40">
        <f t="shared" si="2"/>
        <v>5.4665278999999997E-2</v>
      </c>
    </row>
    <row r="32" spans="1:12" x14ac:dyDescent="0.2">
      <c r="A32" s="2">
        <v>38017</v>
      </c>
      <c r="B32" s="9">
        <v>4.2488039999999998</v>
      </c>
      <c r="C32" s="9">
        <v>4.1505013000000002</v>
      </c>
      <c r="D32" s="9">
        <v>1.7411238</v>
      </c>
      <c r="E32" s="9">
        <v>2.0262864</v>
      </c>
      <c r="F32" s="9">
        <v>1.2788175725944919</v>
      </c>
      <c r="G32" s="9">
        <v>1.7435616809942731</v>
      </c>
      <c r="H32" s="9">
        <v>0.90881573999999998</v>
      </c>
      <c r="I32" s="9">
        <v>-4.5956172999999998</v>
      </c>
      <c r="J32" s="38">
        <f t="shared" si="0"/>
        <v>9.8302699999999635E-4</v>
      </c>
      <c r="K32" s="42">
        <f t="shared" si="1"/>
        <v>-2.8516260000000003E-3</v>
      </c>
      <c r="L32" s="40">
        <f t="shared" si="2"/>
        <v>5.5044330399999994E-2</v>
      </c>
    </row>
    <row r="33" spans="1:12" x14ac:dyDescent="0.2">
      <c r="A33" s="2">
        <v>38046</v>
      </c>
      <c r="B33" s="9">
        <v>4.2130349999999996</v>
      </c>
      <c r="C33" s="9">
        <v>4.0842093999999998</v>
      </c>
      <c r="D33" s="9">
        <v>1.6541257</v>
      </c>
      <c r="E33" s="9">
        <v>1.6884505999999999</v>
      </c>
      <c r="F33" s="9">
        <v>1.2788175725944919</v>
      </c>
      <c r="G33" s="9">
        <v>1.7435616809942731</v>
      </c>
      <c r="H33" s="9">
        <v>1.4037873000000001</v>
      </c>
      <c r="I33" s="9">
        <v>-4.5956172999999998</v>
      </c>
      <c r="J33" s="38">
        <f t="shared" si="0"/>
        <v>1.2882559999999987E-3</v>
      </c>
      <c r="K33" s="42">
        <f t="shared" si="1"/>
        <v>-3.4324899999999881E-4</v>
      </c>
      <c r="L33" s="40">
        <f t="shared" si="2"/>
        <v>5.9994046000000002E-2</v>
      </c>
    </row>
    <row r="34" spans="1:12" x14ac:dyDescent="0.2">
      <c r="A34" s="2">
        <v>38077</v>
      </c>
      <c r="B34" s="9">
        <v>4.0383662999999999</v>
      </c>
      <c r="C34" s="9">
        <v>3.8265220000000002</v>
      </c>
      <c r="D34" s="9">
        <v>1.6143517000000001</v>
      </c>
      <c r="E34" s="9">
        <v>1.7400863</v>
      </c>
      <c r="F34" s="9">
        <v>1.4239897548762126</v>
      </c>
      <c r="G34" s="9">
        <v>1.7481014512418518</v>
      </c>
      <c r="H34" s="9">
        <v>1.764743</v>
      </c>
      <c r="I34" s="9">
        <v>-4.5956172999999998</v>
      </c>
      <c r="J34" s="38">
        <f t="shared" si="0"/>
        <v>2.1184429999999963E-3</v>
      </c>
      <c r="K34" s="42">
        <f t="shared" si="1"/>
        <v>-1.2573459999999992E-3</v>
      </c>
      <c r="L34" s="40">
        <f t="shared" si="2"/>
        <v>6.3603602999999995E-2</v>
      </c>
    </row>
    <row r="35" spans="1:12" x14ac:dyDescent="0.2">
      <c r="A35" s="2">
        <v>38107</v>
      </c>
      <c r="B35" s="9">
        <v>4.2256460000000002</v>
      </c>
      <c r="C35" s="9">
        <v>4.3476195000000004</v>
      </c>
      <c r="D35" s="9">
        <v>1.9340965999999999</v>
      </c>
      <c r="E35" s="9">
        <v>2.2925732000000001</v>
      </c>
      <c r="F35" s="9">
        <v>1.4239897548762126</v>
      </c>
      <c r="G35" s="9">
        <v>1.7481014512418518</v>
      </c>
      <c r="H35" s="9">
        <v>1.4100922</v>
      </c>
      <c r="I35" s="9">
        <v>-5.1551676000000004</v>
      </c>
      <c r="J35" s="38">
        <f t="shared" si="0"/>
        <v>-1.2197350000000017E-3</v>
      </c>
      <c r="K35" s="42">
        <f t="shared" si="1"/>
        <v>-3.5847660000000014E-3</v>
      </c>
      <c r="L35" s="40">
        <f t="shared" si="2"/>
        <v>6.5652598000000006E-2</v>
      </c>
    </row>
    <row r="36" spans="1:12" x14ac:dyDescent="0.2">
      <c r="A36" s="2">
        <v>38138</v>
      </c>
      <c r="B36" s="9">
        <v>4.3740119999999996</v>
      </c>
      <c r="C36" s="9">
        <v>4.7154999999999996</v>
      </c>
      <c r="D36" s="9">
        <v>2.3437803000000001</v>
      </c>
      <c r="E36" s="9">
        <v>2.8977628000000002</v>
      </c>
      <c r="F36" s="9">
        <v>1.4239897548762126</v>
      </c>
      <c r="G36" s="9">
        <v>1.7481014512418518</v>
      </c>
      <c r="H36" s="9">
        <v>2.017353</v>
      </c>
      <c r="I36" s="9">
        <v>-5.1551676000000004</v>
      </c>
      <c r="J36" s="38">
        <f t="shared" si="0"/>
        <v>-3.4148800000000003E-3</v>
      </c>
      <c r="K36" s="42">
        <f t="shared" si="1"/>
        <v>-5.5398250000000008E-3</v>
      </c>
      <c r="L36" s="40">
        <f t="shared" si="2"/>
        <v>7.1725206E-2</v>
      </c>
    </row>
    <row r="37" spans="1:12" x14ac:dyDescent="0.2">
      <c r="A37" s="2">
        <v>38168</v>
      </c>
      <c r="B37" s="9">
        <v>4.4244484999999996</v>
      </c>
      <c r="C37" s="9">
        <v>4.7338094999999996</v>
      </c>
      <c r="D37" s="9">
        <v>2.2690933000000002</v>
      </c>
      <c r="E37" s="9">
        <v>3.1676612</v>
      </c>
      <c r="F37" s="9">
        <v>1.5098712227356257</v>
      </c>
      <c r="G37" s="9">
        <v>1.7355251976343609</v>
      </c>
      <c r="H37" s="9">
        <v>1.3021703</v>
      </c>
      <c r="I37" s="9">
        <v>-5.1551676000000004</v>
      </c>
      <c r="J37" s="38">
        <f t="shared" si="0"/>
        <v>-3.0936100000000001E-3</v>
      </c>
      <c r="K37" s="42">
        <f t="shared" si="1"/>
        <v>-8.9856789999999982E-3</v>
      </c>
      <c r="L37" s="40">
        <f t="shared" si="2"/>
        <v>6.4573379E-2</v>
      </c>
    </row>
    <row r="38" spans="1:12" x14ac:dyDescent="0.2">
      <c r="A38" s="2">
        <v>38199</v>
      </c>
      <c r="B38" s="9">
        <v>4.3222959999999997</v>
      </c>
      <c r="C38" s="9">
        <v>4.4980954999999998</v>
      </c>
      <c r="D38" s="9">
        <v>2.2729659999999998</v>
      </c>
      <c r="E38" s="9">
        <v>2.939584</v>
      </c>
      <c r="F38" s="9">
        <v>1.5098712227356257</v>
      </c>
      <c r="G38" s="9">
        <v>1.7355251976343609</v>
      </c>
      <c r="H38" s="9">
        <v>1.5683662</v>
      </c>
      <c r="I38" s="9">
        <v>-5.2498326000000004</v>
      </c>
      <c r="J38" s="38">
        <f t="shared" si="0"/>
        <v>-1.7579950000000011E-3</v>
      </c>
      <c r="K38" s="42">
        <f t="shared" si="1"/>
        <v>-6.6661800000000016E-3</v>
      </c>
      <c r="L38" s="40">
        <f t="shared" si="2"/>
        <v>6.8181987999999999E-2</v>
      </c>
    </row>
    <row r="39" spans="1:12" x14ac:dyDescent="0.2">
      <c r="A39" s="2">
        <v>38230</v>
      </c>
      <c r="B39" s="9">
        <v>4.1704755000000002</v>
      </c>
      <c r="C39" s="9">
        <v>4.2813635000000003</v>
      </c>
      <c r="D39" s="9">
        <v>2.2967390000000001</v>
      </c>
      <c r="E39" s="9">
        <v>2.5474198000000001</v>
      </c>
      <c r="F39" s="9">
        <v>1.5098712227356257</v>
      </c>
      <c r="G39" s="9">
        <v>1.7355251976343609</v>
      </c>
      <c r="H39" s="9">
        <v>1.7511072999999999</v>
      </c>
      <c r="I39" s="9">
        <v>-5.2498326000000004</v>
      </c>
      <c r="J39" s="38">
        <f t="shared" si="0"/>
        <v>-1.1088800000000009E-3</v>
      </c>
      <c r="K39" s="42">
        <f t="shared" si="1"/>
        <v>-2.5068080000000006E-3</v>
      </c>
      <c r="L39" s="40">
        <f t="shared" si="2"/>
        <v>7.0009399E-2</v>
      </c>
    </row>
    <row r="40" spans="1:12" x14ac:dyDescent="0.2">
      <c r="A40" s="2">
        <v>38260</v>
      </c>
      <c r="B40" s="9">
        <v>4.1184063000000002</v>
      </c>
      <c r="C40" s="9">
        <v>4.1257140000000003</v>
      </c>
      <c r="D40" s="9">
        <v>2.1407232</v>
      </c>
      <c r="E40" s="9">
        <v>2.5391623999999999</v>
      </c>
      <c r="F40" s="9">
        <v>1.4455341950396736</v>
      </c>
      <c r="G40" s="9">
        <v>1.6503340615313182</v>
      </c>
      <c r="H40" s="9">
        <v>1.0210786000000001</v>
      </c>
      <c r="I40" s="9">
        <v>-5.2498326000000004</v>
      </c>
      <c r="J40" s="38">
        <f t="shared" si="0"/>
        <v>-7.3077000000001388E-5</v>
      </c>
      <c r="K40" s="42">
        <f t="shared" si="1"/>
        <v>-3.9843919999999989E-3</v>
      </c>
      <c r="L40" s="40">
        <f t="shared" si="2"/>
        <v>6.2709112000000011E-2</v>
      </c>
    </row>
    <row r="41" spans="1:12" x14ac:dyDescent="0.2">
      <c r="A41" s="2">
        <v>38291</v>
      </c>
      <c r="B41" s="9">
        <v>4.0018469999999997</v>
      </c>
      <c r="C41" s="9">
        <v>4.0995245000000002</v>
      </c>
      <c r="D41" s="9">
        <v>2.2150059999999998</v>
      </c>
      <c r="E41" s="9">
        <v>3.1909200000000002</v>
      </c>
      <c r="F41" s="9">
        <v>1.4455341950396736</v>
      </c>
      <c r="G41" s="9">
        <v>1.6503340615313182</v>
      </c>
      <c r="H41" s="9">
        <v>1.8474823</v>
      </c>
      <c r="I41" s="9">
        <v>-5.7887089999999999</v>
      </c>
      <c r="J41" s="38">
        <f t="shared" si="0"/>
        <v>-9.7677500000000524E-4</v>
      </c>
      <c r="K41" s="42">
        <f t="shared" si="1"/>
        <v>-9.7591400000000047E-3</v>
      </c>
      <c r="L41" s="40">
        <f t="shared" si="2"/>
        <v>7.6361913000000003E-2</v>
      </c>
    </row>
    <row r="42" spans="1:12" x14ac:dyDescent="0.2">
      <c r="A42" s="2">
        <v>38321</v>
      </c>
      <c r="B42" s="9">
        <v>3.8885671999999998</v>
      </c>
      <c r="C42" s="9">
        <v>4.1966662000000001</v>
      </c>
      <c r="D42" s="9">
        <v>2.1760861999999999</v>
      </c>
      <c r="E42" s="9">
        <v>3.6216219999999999</v>
      </c>
      <c r="F42" s="9">
        <v>1.4455341950396736</v>
      </c>
      <c r="G42" s="9">
        <v>1.6503340615313182</v>
      </c>
      <c r="H42" s="9">
        <v>1.450304</v>
      </c>
      <c r="I42" s="9">
        <v>-5.7887089999999999</v>
      </c>
      <c r="J42" s="38">
        <f t="shared" si="0"/>
        <v>-3.0809900000000035E-3</v>
      </c>
      <c r="K42" s="42">
        <f t="shared" si="1"/>
        <v>-1.4455358E-2</v>
      </c>
      <c r="L42" s="40">
        <f t="shared" si="2"/>
        <v>7.2390129999999997E-2</v>
      </c>
    </row>
    <row r="43" spans="1:12" x14ac:dyDescent="0.2">
      <c r="A43" s="2">
        <v>38352</v>
      </c>
      <c r="B43" s="9">
        <v>3.6809835</v>
      </c>
      <c r="C43" s="9">
        <v>4.2309093000000004</v>
      </c>
      <c r="D43" s="9">
        <v>2.2362701999999999</v>
      </c>
      <c r="E43" s="9">
        <v>3.3423212000000002</v>
      </c>
      <c r="F43" s="9">
        <v>1.4162785415794805</v>
      </c>
      <c r="G43" s="9">
        <v>1.6325511882932093</v>
      </c>
      <c r="H43" s="9">
        <v>1.4992312999999999</v>
      </c>
      <c r="I43" s="9">
        <v>-5.7887089999999999</v>
      </c>
      <c r="J43" s="38">
        <f t="shared" si="0"/>
        <v>-5.4992580000000043E-3</v>
      </c>
      <c r="K43" s="42">
        <f t="shared" si="1"/>
        <v>-1.1060510000000003E-2</v>
      </c>
      <c r="L43" s="40">
        <f t="shared" si="2"/>
        <v>7.2879402999999995E-2</v>
      </c>
    </row>
    <row r="44" spans="1:12" x14ac:dyDescent="0.2">
      <c r="A44" s="2">
        <v>38383</v>
      </c>
      <c r="B44" s="9">
        <v>3.6106486000000002</v>
      </c>
      <c r="C44" s="9">
        <v>4.2215004</v>
      </c>
      <c r="D44" s="9">
        <v>1.8532057</v>
      </c>
      <c r="E44" s="9">
        <v>2.8448782000000001</v>
      </c>
      <c r="F44" s="9">
        <v>1.4162785415794805</v>
      </c>
      <c r="G44" s="9">
        <v>1.6325511882932093</v>
      </c>
      <c r="H44" s="9">
        <v>0.76438402999999999</v>
      </c>
      <c r="I44" s="9">
        <v>-5.3519287000000002</v>
      </c>
      <c r="J44" s="38">
        <f t="shared" si="0"/>
        <v>-6.1085179999999985E-3</v>
      </c>
      <c r="K44" s="42">
        <f t="shared" si="1"/>
        <v>-9.9167250000000012E-3</v>
      </c>
      <c r="L44" s="40">
        <f t="shared" si="2"/>
        <v>6.1163127300000009E-2</v>
      </c>
    </row>
    <row r="45" spans="1:12" x14ac:dyDescent="0.2">
      <c r="A45" s="2">
        <v>38411</v>
      </c>
      <c r="B45" s="9">
        <v>3.5949296999999998</v>
      </c>
      <c r="C45" s="9">
        <v>4.1652620000000002</v>
      </c>
      <c r="D45" s="9">
        <v>1.9399168</v>
      </c>
      <c r="E45" s="9">
        <v>3.0530235999999999</v>
      </c>
      <c r="F45" s="9">
        <v>1.4162785415794805</v>
      </c>
      <c r="G45" s="9">
        <v>1.6325511882932093</v>
      </c>
      <c r="H45" s="9">
        <v>1.3875648</v>
      </c>
      <c r="I45" s="9">
        <v>-5.3519287000000002</v>
      </c>
      <c r="J45" s="38">
        <f t="shared" si="0"/>
        <v>-5.7033230000000049E-3</v>
      </c>
      <c r="K45" s="42">
        <f t="shared" si="1"/>
        <v>-1.1131067999999999E-2</v>
      </c>
      <c r="L45" s="40">
        <f t="shared" si="2"/>
        <v>6.7394935000000003E-2</v>
      </c>
    </row>
    <row r="46" spans="1:12" x14ac:dyDescent="0.2">
      <c r="A46" s="2">
        <v>38442</v>
      </c>
      <c r="B46" s="9">
        <v>3.7434303999999998</v>
      </c>
      <c r="C46" s="9">
        <v>4.4977270000000003</v>
      </c>
      <c r="D46" s="9">
        <v>2.0964247999999999</v>
      </c>
      <c r="E46" s="9">
        <v>3.2068436</v>
      </c>
      <c r="F46" s="9">
        <v>1.3701376599910791</v>
      </c>
      <c r="G46" s="9">
        <v>1.6995204298932076</v>
      </c>
      <c r="H46" s="9">
        <v>1.2416465000000001</v>
      </c>
      <c r="I46" s="9">
        <v>-5.3519287000000002</v>
      </c>
      <c r="J46" s="38">
        <f t="shared" si="0"/>
        <v>-7.5429660000000042E-3</v>
      </c>
      <c r="K46" s="42">
        <f t="shared" si="1"/>
        <v>-1.1104188000000001E-2</v>
      </c>
      <c r="L46" s="40">
        <f t="shared" si="2"/>
        <v>6.5935752E-2</v>
      </c>
    </row>
    <row r="47" spans="1:12" x14ac:dyDescent="0.2">
      <c r="A47" s="2">
        <v>38472</v>
      </c>
      <c r="B47" s="9">
        <v>3.5538979999999998</v>
      </c>
      <c r="C47" s="9">
        <v>4.340954</v>
      </c>
      <c r="D47" s="9">
        <v>1.9742963</v>
      </c>
      <c r="E47" s="9">
        <v>3.3617925999999998</v>
      </c>
      <c r="F47" s="9">
        <v>1.3701376599910791</v>
      </c>
      <c r="G47" s="9">
        <v>1.6995204298932076</v>
      </c>
      <c r="H47" s="9">
        <v>0.44109421999999998</v>
      </c>
      <c r="I47" s="9">
        <v>-5.5914820000000001</v>
      </c>
      <c r="J47" s="38">
        <f t="shared" si="0"/>
        <v>-7.8705600000000021E-3</v>
      </c>
      <c r="K47" s="42">
        <f t="shared" si="1"/>
        <v>-1.3874962999999997E-2</v>
      </c>
      <c r="L47" s="40">
        <f t="shared" si="2"/>
        <v>6.0325762200000001E-2</v>
      </c>
    </row>
    <row r="48" spans="1:12" x14ac:dyDescent="0.2">
      <c r="A48" s="2">
        <v>38503</v>
      </c>
      <c r="B48" s="9">
        <v>3.4002811999999998</v>
      </c>
      <c r="C48" s="9">
        <v>4.1442857000000002</v>
      </c>
      <c r="D48" s="9">
        <v>1.6942378</v>
      </c>
      <c r="E48" s="9">
        <v>2.8692966000000002</v>
      </c>
      <c r="F48" s="9">
        <v>1.3701376599910791</v>
      </c>
      <c r="G48" s="9">
        <v>1.6995204298932076</v>
      </c>
      <c r="H48" s="9">
        <v>1.0670567</v>
      </c>
      <c r="I48" s="9">
        <v>-5.5914820000000001</v>
      </c>
      <c r="J48" s="38">
        <f t="shared" si="0"/>
        <v>-7.4400450000000036E-3</v>
      </c>
      <c r="K48" s="42">
        <f t="shared" si="1"/>
        <v>-1.1750588000000001E-2</v>
      </c>
      <c r="L48" s="40">
        <f t="shared" si="2"/>
        <v>6.6585386999999996E-2</v>
      </c>
    </row>
    <row r="49" spans="1:12" x14ac:dyDescent="0.2">
      <c r="A49" s="2">
        <v>38533</v>
      </c>
      <c r="B49" s="9">
        <v>3.2353206000000001</v>
      </c>
      <c r="C49" s="9">
        <v>3.9981817999999998</v>
      </c>
      <c r="D49" s="9">
        <v>1.7959886</v>
      </c>
      <c r="E49" s="9">
        <v>2.5410256000000002</v>
      </c>
      <c r="F49" s="9">
        <v>1.3745350979258155</v>
      </c>
      <c r="G49" s="9">
        <v>1.6652405391553657</v>
      </c>
      <c r="H49" s="9">
        <v>1.2214444</v>
      </c>
      <c r="I49" s="9">
        <v>-5.5914820000000001</v>
      </c>
      <c r="J49" s="38">
        <f t="shared" si="0"/>
        <v>-7.6286119999999964E-3</v>
      </c>
      <c r="K49" s="42">
        <f t="shared" si="1"/>
        <v>-7.4503700000000013E-3</v>
      </c>
      <c r="L49" s="40">
        <f t="shared" si="2"/>
        <v>6.8129264000000009E-2</v>
      </c>
    </row>
    <row r="50" spans="1:12" x14ac:dyDescent="0.2">
      <c r="A50" s="2">
        <v>38564</v>
      </c>
      <c r="B50" s="9">
        <v>3.2808489999999999</v>
      </c>
      <c r="C50" s="9">
        <v>4.1774993</v>
      </c>
      <c r="D50" s="9">
        <v>1.9718465000000001</v>
      </c>
      <c r="E50" s="9">
        <v>3.0671539999999999</v>
      </c>
      <c r="F50" s="9">
        <v>1.3745350979258155</v>
      </c>
      <c r="G50" s="9">
        <v>1.6652405391553657</v>
      </c>
      <c r="H50" s="9">
        <v>1.3190481999999999</v>
      </c>
      <c r="I50" s="9">
        <v>-5.7277069999999997</v>
      </c>
      <c r="J50" s="38">
        <f t="shared" si="0"/>
        <v>-8.9665030000000007E-3</v>
      </c>
      <c r="K50" s="42">
        <f t="shared" si="1"/>
        <v>-1.0953075E-2</v>
      </c>
      <c r="L50" s="40">
        <f t="shared" si="2"/>
        <v>7.0467552000000003E-2</v>
      </c>
    </row>
    <row r="51" spans="1:12" x14ac:dyDescent="0.2">
      <c r="A51" s="2">
        <v>38595</v>
      </c>
      <c r="B51" s="9">
        <v>3.3003019999999998</v>
      </c>
      <c r="C51" s="9">
        <v>4.2626084999999998</v>
      </c>
      <c r="D51" s="9">
        <v>1.9872954</v>
      </c>
      <c r="E51" s="9">
        <v>3.6469437999999998</v>
      </c>
      <c r="F51" s="9">
        <v>1.3745350979258155</v>
      </c>
      <c r="G51" s="9">
        <v>1.6652405391553657</v>
      </c>
      <c r="H51" s="9">
        <v>0.87404219999999999</v>
      </c>
      <c r="I51" s="9">
        <v>-5.7277069999999997</v>
      </c>
      <c r="J51" s="38">
        <f t="shared" si="0"/>
        <v>-9.6230650000000001E-3</v>
      </c>
      <c r="K51" s="42">
        <f t="shared" si="1"/>
        <v>-1.6596483999999998E-2</v>
      </c>
      <c r="L51" s="40">
        <f t="shared" si="2"/>
        <v>6.6017491999999997E-2</v>
      </c>
    </row>
    <row r="52" spans="1:12" x14ac:dyDescent="0.2">
      <c r="A52" s="2">
        <v>38625</v>
      </c>
      <c r="B52" s="9">
        <v>3.1474285000000002</v>
      </c>
      <c r="C52" s="9">
        <v>4.1990480000000003</v>
      </c>
      <c r="D52" s="9">
        <v>2.2439977999999998</v>
      </c>
      <c r="E52" s="9">
        <v>4.7418294000000003</v>
      </c>
      <c r="F52" s="9">
        <v>1.4618318627313611</v>
      </c>
      <c r="G52" s="9">
        <v>1.6446548057256232</v>
      </c>
      <c r="H52" s="9">
        <v>0.76342887000000004</v>
      </c>
      <c r="I52" s="9">
        <v>-5.7277069999999997</v>
      </c>
      <c r="J52" s="38">
        <f t="shared" si="0"/>
        <v>-1.0516195000000001E-2</v>
      </c>
      <c r="K52" s="42">
        <f t="shared" si="1"/>
        <v>-2.4978316000000004E-2</v>
      </c>
      <c r="L52" s="40">
        <f t="shared" si="2"/>
        <v>6.4911358700000005E-2</v>
      </c>
    </row>
    <row r="53" spans="1:12" x14ac:dyDescent="0.2">
      <c r="A53" s="2">
        <v>38656</v>
      </c>
      <c r="B53" s="9">
        <v>3.3056784000000001</v>
      </c>
      <c r="C53" s="9">
        <v>4.4580956</v>
      </c>
      <c r="D53" s="9">
        <v>2.1383103999999999</v>
      </c>
      <c r="E53" s="9">
        <v>4.3501023999999999</v>
      </c>
      <c r="F53" s="9">
        <v>1.4618318627313611</v>
      </c>
      <c r="G53" s="9">
        <v>1.6446548057256232</v>
      </c>
      <c r="H53" s="9">
        <v>0.80329090000000003</v>
      </c>
      <c r="I53" s="9">
        <v>-6.2914976999999999</v>
      </c>
      <c r="J53" s="38">
        <f t="shared" si="0"/>
        <v>-1.1524171999999999E-2</v>
      </c>
      <c r="K53" s="42">
        <f t="shared" si="1"/>
        <v>-2.2117919999999999E-2</v>
      </c>
      <c r="L53" s="40">
        <f t="shared" si="2"/>
        <v>7.0947886000000002E-2</v>
      </c>
    </row>
    <row r="54" spans="1:12" x14ac:dyDescent="0.2">
      <c r="A54" s="2">
        <v>38686</v>
      </c>
      <c r="B54" s="9">
        <v>3.5111417999999999</v>
      </c>
      <c r="C54" s="9">
        <v>4.5357139999999996</v>
      </c>
      <c r="D54" s="9">
        <v>2.0281272000000001</v>
      </c>
      <c r="E54" s="9">
        <v>3.3385612999999998</v>
      </c>
      <c r="F54" s="9">
        <v>1.4618318627313611</v>
      </c>
      <c r="G54" s="9">
        <v>1.6446548057256232</v>
      </c>
      <c r="H54" s="9">
        <v>0.78436839999999997</v>
      </c>
      <c r="I54" s="9">
        <v>-6.2914976999999999</v>
      </c>
      <c r="J54" s="38">
        <f t="shared" si="0"/>
        <v>-1.0245721999999997E-2</v>
      </c>
      <c r="K54" s="42">
        <f t="shared" si="1"/>
        <v>-1.3104340999999997E-2</v>
      </c>
      <c r="L54" s="40">
        <f t="shared" si="2"/>
        <v>7.0758661E-2</v>
      </c>
    </row>
    <row r="55" spans="1:12" x14ac:dyDescent="0.2">
      <c r="A55" s="2">
        <v>38717</v>
      </c>
      <c r="B55" s="9">
        <v>3.4129508</v>
      </c>
      <c r="C55" s="9">
        <v>4.4671434999999997</v>
      </c>
      <c r="D55" s="9">
        <v>1.9880260999999999</v>
      </c>
      <c r="E55" s="9">
        <v>3.3385612999999998</v>
      </c>
      <c r="F55" s="9">
        <v>1.4992343055040953</v>
      </c>
      <c r="G55" s="9">
        <v>1.5837863046243006</v>
      </c>
      <c r="H55" s="9">
        <v>0.93986250000000005</v>
      </c>
      <c r="I55" s="9">
        <v>-6.2914976999999999</v>
      </c>
      <c r="J55" s="38">
        <f t="shared" si="0"/>
        <v>-1.0541926999999998E-2</v>
      </c>
      <c r="K55" s="42">
        <f t="shared" si="1"/>
        <v>-1.3505352E-2</v>
      </c>
      <c r="L55" s="40">
        <f t="shared" si="2"/>
        <v>7.2313602000000005E-2</v>
      </c>
    </row>
    <row r="56" spans="1:12" x14ac:dyDescent="0.2">
      <c r="A56" s="2">
        <v>38748</v>
      </c>
      <c r="B56" s="9">
        <v>3.386981</v>
      </c>
      <c r="C56" s="9">
        <v>4.4159993999999996</v>
      </c>
      <c r="D56" s="9">
        <v>2.2084885000000001</v>
      </c>
      <c r="E56" s="9">
        <v>4.0187844999999998</v>
      </c>
      <c r="F56" s="9">
        <v>1.4992343055040953</v>
      </c>
      <c r="G56" s="9">
        <v>1.5837863046243006</v>
      </c>
      <c r="H56" s="9">
        <v>1.4231627</v>
      </c>
      <c r="I56" s="9">
        <v>-5.8681855000000001</v>
      </c>
      <c r="J56" s="38">
        <f t="shared" si="0"/>
        <v>-1.0290183999999996E-2</v>
      </c>
      <c r="K56" s="42">
        <f t="shared" si="1"/>
        <v>-1.8102959999999998E-2</v>
      </c>
      <c r="L56" s="40">
        <f t="shared" si="2"/>
        <v>7.2913482000000002E-2</v>
      </c>
    </row>
    <row r="57" spans="1:12" x14ac:dyDescent="0.2">
      <c r="A57" s="2">
        <v>38776</v>
      </c>
      <c r="B57" s="9">
        <v>3.5372032999999998</v>
      </c>
      <c r="C57" s="9">
        <v>4.5688943999999996</v>
      </c>
      <c r="D57" s="9">
        <v>2.2003235999999999</v>
      </c>
      <c r="E57" s="9">
        <v>3.6382509999999999</v>
      </c>
      <c r="F57" s="9">
        <v>1.4992343055040953</v>
      </c>
      <c r="G57" s="9">
        <v>1.5837863046243006</v>
      </c>
      <c r="H57" s="9">
        <v>0.5257503</v>
      </c>
      <c r="I57" s="9">
        <v>-5.8681855000000001</v>
      </c>
      <c r="J57" s="38">
        <f t="shared" si="0"/>
        <v>-1.0316910999999998E-2</v>
      </c>
      <c r="K57" s="42">
        <f t="shared" si="1"/>
        <v>-1.4379273999999999E-2</v>
      </c>
      <c r="L57" s="40">
        <f t="shared" si="2"/>
        <v>6.3939358000000002E-2</v>
      </c>
    </row>
    <row r="58" spans="1:12" x14ac:dyDescent="0.2">
      <c r="A58" s="2">
        <v>38807</v>
      </c>
      <c r="B58" s="9">
        <v>3.7162354</v>
      </c>
      <c r="C58" s="9">
        <v>4.7230787000000003</v>
      </c>
      <c r="D58" s="9">
        <v>1.9161699000000001</v>
      </c>
      <c r="E58" s="9">
        <v>3.4179143999999999</v>
      </c>
      <c r="F58" s="9">
        <v>1.5941261185866897</v>
      </c>
      <c r="G58" s="9">
        <v>1.6151051764326376</v>
      </c>
      <c r="H58" s="9">
        <v>0.16072866</v>
      </c>
      <c r="I58" s="9">
        <v>-5.8681855000000001</v>
      </c>
      <c r="J58" s="38">
        <f t="shared" si="0"/>
        <v>-1.0068433000000003E-2</v>
      </c>
      <c r="K58" s="42">
        <f t="shared" si="1"/>
        <v>-1.5017444999999997E-2</v>
      </c>
      <c r="L58" s="40">
        <f t="shared" si="2"/>
        <v>6.0289141600000005E-2</v>
      </c>
    </row>
    <row r="59" spans="1:12" x14ac:dyDescent="0.2">
      <c r="A59" s="2">
        <v>38837</v>
      </c>
      <c r="B59" s="9">
        <v>3.9839756</v>
      </c>
      <c r="C59" s="9">
        <v>4.9748044</v>
      </c>
      <c r="D59" s="9">
        <v>2.2301993000000002</v>
      </c>
      <c r="E59" s="9">
        <v>3.6138409999999999</v>
      </c>
      <c r="F59" s="9">
        <v>1.5941261185866897</v>
      </c>
      <c r="G59" s="9">
        <v>1.6151051764326376</v>
      </c>
      <c r="H59" s="9">
        <v>1.2243556</v>
      </c>
      <c r="I59" s="9">
        <v>-5.9607849999999996</v>
      </c>
      <c r="J59" s="38">
        <f t="shared" si="0"/>
        <v>-9.9082880000000012E-3</v>
      </c>
      <c r="K59" s="42">
        <f t="shared" si="1"/>
        <v>-1.3836416999999997E-2</v>
      </c>
      <c r="L59" s="40">
        <f t="shared" si="2"/>
        <v>7.1851405999999993E-2</v>
      </c>
    </row>
    <row r="60" spans="1:12" x14ac:dyDescent="0.2">
      <c r="A60" s="2">
        <v>38868</v>
      </c>
      <c r="B60" s="9">
        <v>4.0492699999999999</v>
      </c>
      <c r="C60" s="9">
        <v>5.0998315999999999</v>
      </c>
      <c r="D60" s="9">
        <v>2.4142220000000001</v>
      </c>
      <c r="E60" s="9">
        <v>3.9772682000000001</v>
      </c>
      <c r="F60" s="9">
        <v>1.5941261185866897</v>
      </c>
      <c r="G60" s="9">
        <v>1.6151051764326376</v>
      </c>
      <c r="H60" s="9">
        <v>0.8682204</v>
      </c>
      <c r="I60" s="9">
        <v>-5.9607849999999996</v>
      </c>
      <c r="J60" s="38">
        <f t="shared" si="0"/>
        <v>-1.0505616000000001E-2</v>
      </c>
      <c r="K60" s="42">
        <f t="shared" si="1"/>
        <v>-1.5630462000000001E-2</v>
      </c>
      <c r="L60" s="40">
        <f t="shared" si="2"/>
        <v>6.8290054000000003E-2</v>
      </c>
    </row>
    <row r="61" spans="1:12" x14ac:dyDescent="0.2">
      <c r="A61" s="2">
        <v>38898</v>
      </c>
      <c r="B61" s="9">
        <v>4.0585585000000002</v>
      </c>
      <c r="C61" s="9">
        <v>5.1015050000000004</v>
      </c>
      <c r="D61" s="9">
        <v>2.3152868999999998</v>
      </c>
      <c r="E61" s="9">
        <v>4.1817289999999998</v>
      </c>
      <c r="F61" s="9">
        <v>1.6557373092616674</v>
      </c>
      <c r="G61" s="9">
        <v>1.583807433525358</v>
      </c>
      <c r="H61" s="9">
        <v>1.4874845999999999</v>
      </c>
      <c r="I61" s="9">
        <v>-5.9607849999999996</v>
      </c>
      <c r="J61" s="38">
        <f t="shared" si="0"/>
        <v>-1.0429465000000002E-2</v>
      </c>
      <c r="K61" s="42">
        <f t="shared" si="1"/>
        <v>-1.8664421E-2</v>
      </c>
      <c r="L61" s="40">
        <f t="shared" si="2"/>
        <v>7.4482696000000001E-2</v>
      </c>
    </row>
    <row r="62" spans="1:12" x14ac:dyDescent="0.2">
      <c r="A62" s="2">
        <v>38929</v>
      </c>
      <c r="B62" s="9">
        <v>4.0853339999999996</v>
      </c>
      <c r="C62" s="9">
        <v>5.0938907000000002</v>
      </c>
      <c r="D62" s="9">
        <v>2.2381885000000001</v>
      </c>
      <c r="E62" s="9">
        <v>4.1046620000000003</v>
      </c>
      <c r="F62" s="9">
        <v>1.6557373092616674</v>
      </c>
      <c r="G62" s="9">
        <v>1.583807433525358</v>
      </c>
      <c r="H62" s="9">
        <v>0.99979150000000006</v>
      </c>
      <c r="I62" s="9">
        <v>-6.2996119999999998</v>
      </c>
      <c r="J62" s="38">
        <f t="shared" si="0"/>
        <v>-1.0085567000000007E-2</v>
      </c>
      <c r="K62" s="42">
        <f t="shared" si="1"/>
        <v>-1.8664735000000002E-2</v>
      </c>
      <c r="L62" s="40">
        <f t="shared" si="2"/>
        <v>7.2994034999999999E-2</v>
      </c>
    </row>
    <row r="63" spans="1:12" x14ac:dyDescent="0.2">
      <c r="A63" s="2">
        <v>38960</v>
      </c>
      <c r="B63" s="9">
        <v>3.9648310000000002</v>
      </c>
      <c r="C63" s="9">
        <v>4.8825006000000002</v>
      </c>
      <c r="D63" s="9">
        <v>2.1267990000000001</v>
      </c>
      <c r="E63" s="9">
        <v>3.9265637</v>
      </c>
      <c r="F63" s="9">
        <v>1.6557373092616674</v>
      </c>
      <c r="G63" s="9">
        <v>1.583807433525358</v>
      </c>
      <c r="H63" s="9">
        <v>1.5113977999999999</v>
      </c>
      <c r="I63" s="9">
        <v>-6.2996119999999998</v>
      </c>
      <c r="J63" s="38">
        <f t="shared" si="0"/>
        <v>-9.1766959999999998E-3</v>
      </c>
      <c r="K63" s="42">
        <f t="shared" si="1"/>
        <v>-1.7997646999999999E-2</v>
      </c>
      <c r="L63" s="40">
        <f t="shared" si="2"/>
        <v>7.8110098000000003E-2</v>
      </c>
    </row>
    <row r="64" spans="1:12" x14ac:dyDescent="0.2">
      <c r="A64" s="2">
        <v>38990</v>
      </c>
      <c r="B64" s="9">
        <v>3.8383690000000001</v>
      </c>
      <c r="C64" s="9">
        <v>4.7147610000000002</v>
      </c>
      <c r="D64" s="9">
        <v>1.6679777</v>
      </c>
      <c r="E64" s="9">
        <v>2.0120765999999999</v>
      </c>
      <c r="F64" s="9">
        <v>1.6303796022064418</v>
      </c>
      <c r="G64" s="9">
        <v>1.4925980976030644</v>
      </c>
      <c r="H64" s="9">
        <v>1.3297957</v>
      </c>
      <c r="I64" s="9">
        <v>-6.2996119999999998</v>
      </c>
      <c r="J64" s="38">
        <f t="shared" si="0"/>
        <v>-8.7639200000000014E-3</v>
      </c>
      <c r="K64" s="42">
        <f t="shared" si="1"/>
        <v>-3.4409889999999989E-3</v>
      </c>
      <c r="L64" s="40">
        <f t="shared" si="2"/>
        <v>7.6294077000000002E-2</v>
      </c>
    </row>
    <row r="65" spans="1:12" x14ac:dyDescent="0.2">
      <c r="A65" s="2">
        <v>39021</v>
      </c>
      <c r="B65" s="9">
        <v>3.8726759999999998</v>
      </c>
      <c r="C65" s="9">
        <v>4.7181170000000003</v>
      </c>
      <c r="D65" s="9">
        <v>1.5247871</v>
      </c>
      <c r="E65" s="9">
        <v>1.4063215</v>
      </c>
      <c r="F65" s="9">
        <v>1.6303796022064418</v>
      </c>
      <c r="G65" s="9">
        <v>1.4925980976030644</v>
      </c>
      <c r="H65" s="9">
        <v>1.8052708</v>
      </c>
      <c r="I65" s="9">
        <v>-5.5200024000000001</v>
      </c>
      <c r="J65" s="38">
        <f t="shared" si="0"/>
        <v>-8.4544100000000059E-3</v>
      </c>
      <c r="K65" s="42">
        <f t="shared" si="1"/>
        <v>1.1846559999999994E-3</v>
      </c>
      <c r="L65" s="40">
        <f t="shared" si="2"/>
        <v>7.3252732000000001E-2</v>
      </c>
    </row>
    <row r="66" spans="1:12" x14ac:dyDescent="0.2">
      <c r="A66" s="2">
        <v>39051</v>
      </c>
      <c r="B66" s="9">
        <v>3.7980459</v>
      </c>
      <c r="C66" s="9">
        <v>4.5932950000000003</v>
      </c>
      <c r="D66" s="9">
        <v>1.7457746999999999</v>
      </c>
      <c r="E66" s="9">
        <v>1.9686948</v>
      </c>
      <c r="F66" s="9">
        <v>1.6303796022064418</v>
      </c>
      <c r="G66" s="9">
        <v>1.4925980976030644</v>
      </c>
      <c r="H66" s="9">
        <v>1.3225526000000001</v>
      </c>
      <c r="I66" s="9">
        <v>-5.5200024000000001</v>
      </c>
      <c r="J66" s="38">
        <f t="shared" si="0"/>
        <v>-7.9524910000000042E-3</v>
      </c>
      <c r="K66" s="42">
        <f t="shared" si="1"/>
        <v>-2.2292010000000005E-3</v>
      </c>
      <c r="L66" s="40">
        <f t="shared" si="2"/>
        <v>6.8425550000000002E-2</v>
      </c>
    </row>
    <row r="67" spans="1:12" x14ac:dyDescent="0.2">
      <c r="A67" s="2">
        <v>39082</v>
      </c>
      <c r="B67" s="9">
        <v>3.8689182</v>
      </c>
      <c r="C67" s="9">
        <v>4.5565899999999999</v>
      </c>
      <c r="D67" s="9">
        <v>1.8857809000000001</v>
      </c>
      <c r="E67" s="9">
        <v>2.5239769999999999</v>
      </c>
      <c r="F67" s="9">
        <v>1.6893715436918109</v>
      </c>
      <c r="G67" s="9">
        <v>1.5375060409130969</v>
      </c>
      <c r="H67" s="9">
        <v>2.0051171999999999</v>
      </c>
      <c r="I67" s="9">
        <v>-5.5200024000000001</v>
      </c>
      <c r="J67" s="38">
        <f t="shared" si="0"/>
        <v>-6.8767179999999995E-3</v>
      </c>
      <c r="K67" s="42">
        <f t="shared" si="1"/>
        <v>-6.3819609999999985E-3</v>
      </c>
      <c r="L67" s="40">
        <f t="shared" si="2"/>
        <v>7.5251196000000006E-2</v>
      </c>
    </row>
    <row r="68" spans="1:12" x14ac:dyDescent="0.2">
      <c r="A68" s="2">
        <v>39113</v>
      </c>
      <c r="B68" s="9">
        <v>4.1034207</v>
      </c>
      <c r="C68" s="9">
        <v>4.7584952999999999</v>
      </c>
      <c r="D68" s="9">
        <v>1.9509865</v>
      </c>
      <c r="E68" s="9">
        <v>2.0757686999999998</v>
      </c>
      <c r="F68" s="9">
        <v>1.6893715436918109</v>
      </c>
      <c r="G68" s="9">
        <v>1.5375060409130969</v>
      </c>
      <c r="H68" s="9">
        <v>1.694628</v>
      </c>
      <c r="I68" s="9">
        <v>-5.6364635999999999</v>
      </c>
      <c r="J68" s="38">
        <f t="shared" ref="J68:J131" si="3">(B68-C68)/100</f>
        <v>-6.5507459999999988E-3</v>
      </c>
      <c r="K68" s="42">
        <f t="shared" ref="K68:K131" si="4">(D68-E68)/100</f>
        <v>-1.2478219999999985E-3</v>
      </c>
      <c r="L68" s="40">
        <f t="shared" ref="L68:L131" si="5">(H68-I68)/100</f>
        <v>7.3310916000000004E-2</v>
      </c>
    </row>
    <row r="69" spans="1:12" x14ac:dyDescent="0.2">
      <c r="A69" s="2">
        <v>39141</v>
      </c>
      <c r="B69" s="9">
        <v>4.1273713000000001</v>
      </c>
      <c r="C69" s="9">
        <v>4.724342</v>
      </c>
      <c r="D69" s="9">
        <v>1.8564944999999999</v>
      </c>
      <c r="E69" s="9">
        <v>2.4202653999999999</v>
      </c>
      <c r="F69" s="9">
        <v>1.6893715436918109</v>
      </c>
      <c r="G69" s="9">
        <v>1.5375060409130969</v>
      </c>
      <c r="H69" s="9">
        <v>0.30387616000000001</v>
      </c>
      <c r="I69" s="9">
        <v>-5.6364635999999999</v>
      </c>
      <c r="J69" s="38">
        <f t="shared" si="3"/>
        <v>-5.9697069999999994E-3</v>
      </c>
      <c r="K69" s="42">
        <f t="shared" si="4"/>
        <v>-5.6377089999999994E-3</v>
      </c>
      <c r="L69" s="40">
        <f t="shared" si="5"/>
        <v>5.9403397599999998E-2</v>
      </c>
    </row>
    <row r="70" spans="1:12" x14ac:dyDescent="0.2">
      <c r="A70" s="2">
        <v>39172</v>
      </c>
      <c r="B70" s="9">
        <v>4.034198</v>
      </c>
      <c r="C70" s="9">
        <v>4.5604506000000002</v>
      </c>
      <c r="D70" s="9">
        <v>2.0025115000000002</v>
      </c>
      <c r="E70" s="9">
        <v>2.7981946</v>
      </c>
      <c r="F70" s="9">
        <v>1.6578893676699076</v>
      </c>
      <c r="G70" s="9">
        <v>1.3709542785744866</v>
      </c>
      <c r="H70" s="9">
        <v>1.7537843</v>
      </c>
      <c r="I70" s="9">
        <v>-5.6364635999999999</v>
      </c>
      <c r="J70" s="38">
        <f t="shared" si="3"/>
        <v>-5.2625260000000026E-3</v>
      </c>
      <c r="K70" s="42">
        <f t="shared" si="4"/>
        <v>-7.9568309999999975E-3</v>
      </c>
      <c r="L70" s="40">
        <f t="shared" si="5"/>
        <v>7.3902479000000007E-2</v>
      </c>
    </row>
    <row r="71" spans="1:12" x14ac:dyDescent="0.2">
      <c r="A71" s="2">
        <v>39202</v>
      </c>
      <c r="B71" s="9">
        <v>4.2344290000000004</v>
      </c>
      <c r="C71" s="9">
        <v>4.6891550000000004</v>
      </c>
      <c r="D71" s="9">
        <v>1.9345847</v>
      </c>
      <c r="E71" s="9">
        <v>2.5929283999999999</v>
      </c>
      <c r="F71" s="9">
        <v>1.6578893676699076</v>
      </c>
      <c r="G71" s="9">
        <v>1.3709542785744866</v>
      </c>
      <c r="H71" s="9">
        <v>1.4081461</v>
      </c>
      <c r="I71" s="9">
        <v>-5.3696127000000002</v>
      </c>
      <c r="J71" s="38">
        <f t="shared" si="3"/>
        <v>-4.54726E-3</v>
      </c>
      <c r="K71" s="42">
        <f t="shared" si="4"/>
        <v>-6.5834369999999984E-3</v>
      </c>
      <c r="L71" s="40">
        <f t="shared" si="5"/>
        <v>6.7777588E-2</v>
      </c>
    </row>
    <row r="72" spans="1:12" x14ac:dyDescent="0.2">
      <c r="A72" s="2">
        <v>39233</v>
      </c>
      <c r="B72" s="9">
        <v>4.3616923999999999</v>
      </c>
      <c r="C72" s="9">
        <v>4.7408093999999998</v>
      </c>
      <c r="D72" s="9">
        <v>1.8615868</v>
      </c>
      <c r="E72" s="9">
        <v>2.7098795999999998</v>
      </c>
      <c r="F72" s="9">
        <v>1.6578893676699076</v>
      </c>
      <c r="G72" s="9">
        <v>1.3709542785744866</v>
      </c>
      <c r="H72" s="9">
        <v>1.3009377</v>
      </c>
      <c r="I72" s="9">
        <v>-5.3696127000000002</v>
      </c>
      <c r="J72" s="38">
        <f t="shared" si="3"/>
        <v>-3.7911699999999991E-3</v>
      </c>
      <c r="K72" s="42">
        <f t="shared" si="4"/>
        <v>-8.482927999999999E-3</v>
      </c>
      <c r="L72" s="40">
        <f t="shared" si="5"/>
        <v>6.6705503999999999E-2</v>
      </c>
    </row>
    <row r="73" spans="1:12" x14ac:dyDescent="0.2">
      <c r="A73" s="2">
        <v>39263</v>
      </c>
      <c r="B73" s="9">
        <v>4.6474767000000003</v>
      </c>
      <c r="C73" s="9">
        <v>5.1043042999999999</v>
      </c>
      <c r="D73" s="9">
        <v>1.9374423000000001</v>
      </c>
      <c r="E73" s="9">
        <v>2.6927637999999998</v>
      </c>
      <c r="F73" s="9">
        <v>1.6031396683551093</v>
      </c>
      <c r="G73" s="9">
        <v>1.4316559296847249</v>
      </c>
      <c r="H73" s="9">
        <v>1.5040728000000001</v>
      </c>
      <c r="I73" s="9">
        <v>-5.3696127000000002</v>
      </c>
      <c r="J73" s="38">
        <f t="shared" si="3"/>
        <v>-4.5682759999999953E-3</v>
      </c>
      <c r="K73" s="42">
        <f t="shared" si="4"/>
        <v>-7.5532149999999977E-3</v>
      </c>
      <c r="L73" s="40">
        <f t="shared" si="5"/>
        <v>6.8736854999999999E-2</v>
      </c>
    </row>
    <row r="74" spans="1:12" x14ac:dyDescent="0.2">
      <c r="A74" s="2">
        <v>39294</v>
      </c>
      <c r="B74" s="9">
        <v>4.6098632999999998</v>
      </c>
      <c r="C74" s="9">
        <v>4.9933332999999998</v>
      </c>
      <c r="D74" s="9">
        <v>1.9578416000000001</v>
      </c>
      <c r="E74" s="9">
        <v>2.3178975999999998</v>
      </c>
      <c r="F74" s="9">
        <v>1.6031396683551093</v>
      </c>
      <c r="G74" s="9">
        <v>1.4316559296847249</v>
      </c>
      <c r="H74" s="9">
        <v>1.141052</v>
      </c>
      <c r="I74" s="9">
        <v>-4.8270964999999997</v>
      </c>
      <c r="J74" s="38">
        <f t="shared" si="3"/>
        <v>-3.8346999999999999E-3</v>
      </c>
      <c r="K74" s="42">
        <f t="shared" si="4"/>
        <v>-3.600559999999997E-3</v>
      </c>
      <c r="L74" s="40">
        <f t="shared" si="5"/>
        <v>5.9681484999999999E-2</v>
      </c>
    </row>
    <row r="75" spans="1:12" x14ac:dyDescent="0.2">
      <c r="A75" s="2">
        <v>39325</v>
      </c>
      <c r="B75" s="9">
        <v>4.4244102999999999</v>
      </c>
      <c r="C75" s="9">
        <v>4.6772479999999996</v>
      </c>
      <c r="D75" s="9">
        <v>1.8560114000000001</v>
      </c>
      <c r="E75" s="9">
        <v>1.8974565000000001</v>
      </c>
      <c r="F75" s="9">
        <v>1.6031396683551093</v>
      </c>
      <c r="G75" s="9">
        <v>1.4316559296847249</v>
      </c>
      <c r="H75" s="9">
        <v>1.2914033</v>
      </c>
      <c r="I75" s="9">
        <v>-4.8270964999999997</v>
      </c>
      <c r="J75" s="38">
        <f t="shared" si="3"/>
        <v>-2.528376999999997E-3</v>
      </c>
      <c r="K75" s="42">
        <f t="shared" si="4"/>
        <v>-4.1445100000000014E-4</v>
      </c>
      <c r="L75" s="40">
        <f t="shared" si="5"/>
        <v>6.1184997999999997E-2</v>
      </c>
    </row>
    <row r="76" spans="1:12" x14ac:dyDescent="0.2">
      <c r="A76" s="2">
        <v>39355</v>
      </c>
      <c r="B76" s="9">
        <v>4.3840484999999996</v>
      </c>
      <c r="C76" s="9">
        <v>4.5155370000000001</v>
      </c>
      <c r="D76" s="9">
        <v>2.2355046000000001</v>
      </c>
      <c r="E76" s="9">
        <v>2.8338325000000002</v>
      </c>
      <c r="F76" s="9">
        <v>1.582515993539211</v>
      </c>
      <c r="G76" s="9">
        <v>1.4989672891687265</v>
      </c>
      <c r="H76" s="9">
        <v>1.2337575999999999</v>
      </c>
      <c r="I76" s="9">
        <v>-4.8270964999999997</v>
      </c>
      <c r="J76" s="38">
        <f t="shared" si="3"/>
        <v>-1.3148850000000056E-3</v>
      </c>
      <c r="K76" s="42">
        <f t="shared" si="4"/>
        <v>-5.9832790000000011E-3</v>
      </c>
      <c r="L76" s="40">
        <f t="shared" si="5"/>
        <v>6.0608540999999995E-2</v>
      </c>
    </row>
    <row r="77" spans="1:12" x14ac:dyDescent="0.2">
      <c r="A77" s="2">
        <v>39386</v>
      </c>
      <c r="B77" s="9">
        <v>4.4182629999999996</v>
      </c>
      <c r="C77" s="9">
        <v>4.5166040000000001</v>
      </c>
      <c r="D77" s="9">
        <v>2.6503994</v>
      </c>
      <c r="E77" s="9">
        <v>3.6107024999999999</v>
      </c>
      <c r="F77" s="9">
        <v>1.582515993539211</v>
      </c>
      <c r="G77" s="9">
        <v>1.4989672891687265</v>
      </c>
      <c r="H77" s="9">
        <v>1.2198386999999999</v>
      </c>
      <c r="I77" s="9">
        <v>-4.5434823</v>
      </c>
      <c r="J77" s="38">
        <f t="shared" si="3"/>
        <v>-9.8341000000000465E-4</v>
      </c>
      <c r="K77" s="42">
        <f t="shared" si="4"/>
        <v>-9.6030309999999997E-3</v>
      </c>
      <c r="L77" s="40">
        <f t="shared" si="5"/>
        <v>5.7633209999999997E-2</v>
      </c>
    </row>
    <row r="78" spans="1:12" x14ac:dyDescent="0.2">
      <c r="A78" s="2">
        <v>39416</v>
      </c>
      <c r="B78" s="9">
        <v>4.2685423</v>
      </c>
      <c r="C78" s="9">
        <v>4.1614003000000004</v>
      </c>
      <c r="D78" s="9">
        <v>3.1373522</v>
      </c>
      <c r="E78" s="9">
        <v>4.3732680000000004</v>
      </c>
      <c r="F78" s="9">
        <v>1.582515993539211</v>
      </c>
      <c r="G78" s="9">
        <v>1.4989672891687265</v>
      </c>
      <c r="H78" s="9">
        <v>0.97872650000000005</v>
      </c>
      <c r="I78" s="9">
        <v>-4.5434823</v>
      </c>
      <c r="J78" s="38">
        <f t="shared" si="3"/>
        <v>1.0714199999999963E-3</v>
      </c>
      <c r="K78" s="42">
        <f t="shared" si="4"/>
        <v>-1.2359158000000004E-2</v>
      </c>
      <c r="L78" s="40">
        <f t="shared" si="5"/>
        <v>5.5222087999999996E-2</v>
      </c>
    </row>
    <row r="79" spans="1:12" x14ac:dyDescent="0.2">
      <c r="A79" s="2">
        <v>39447</v>
      </c>
      <c r="B79" s="9">
        <v>4.3867044000000002</v>
      </c>
      <c r="C79" s="9">
        <v>4.0899150000000004</v>
      </c>
      <c r="D79" s="9">
        <v>3.1159596000000001</v>
      </c>
      <c r="E79" s="9">
        <v>4.1088132999999996</v>
      </c>
      <c r="F79" s="9">
        <v>1.4891438409802289</v>
      </c>
      <c r="G79" s="9">
        <v>1.4633123487540436</v>
      </c>
      <c r="H79" s="9">
        <v>1.1900231999999999</v>
      </c>
      <c r="I79" s="9">
        <v>-4.5434823</v>
      </c>
      <c r="J79" s="38">
        <f t="shared" si="3"/>
        <v>2.9678939999999974E-3</v>
      </c>
      <c r="K79" s="42">
        <f t="shared" si="4"/>
        <v>-9.9285369999999942E-3</v>
      </c>
      <c r="L79" s="40">
        <f t="shared" si="5"/>
        <v>5.7335054999999996E-2</v>
      </c>
    </row>
    <row r="80" spans="1:12" x14ac:dyDescent="0.2">
      <c r="A80" s="2">
        <v>39478</v>
      </c>
      <c r="B80" s="9">
        <v>4.2057270000000004</v>
      </c>
      <c r="C80" s="9">
        <v>3.7362247000000002</v>
      </c>
      <c r="D80" s="9">
        <v>3.2076267999999999</v>
      </c>
      <c r="E80" s="9">
        <v>4.2946897000000002</v>
      </c>
      <c r="F80" s="9">
        <v>1.4891438409802289</v>
      </c>
      <c r="G80" s="9">
        <v>1.4633123487540436</v>
      </c>
      <c r="H80" s="9">
        <v>0.24563760000000001</v>
      </c>
      <c r="I80" s="9">
        <v>-4.9579034000000002</v>
      </c>
      <c r="J80" s="38">
        <f t="shared" si="3"/>
        <v>4.695023000000003E-3</v>
      </c>
      <c r="K80" s="42">
        <f t="shared" si="4"/>
        <v>-1.0870629000000003E-2</v>
      </c>
      <c r="L80" s="40">
        <f t="shared" si="5"/>
        <v>5.2035410000000004E-2</v>
      </c>
    </row>
    <row r="81" spans="1:12" x14ac:dyDescent="0.2">
      <c r="A81" s="2">
        <v>39507</v>
      </c>
      <c r="B81" s="9">
        <v>4.1368055000000004</v>
      </c>
      <c r="C81" s="9">
        <v>3.7352500000000002</v>
      </c>
      <c r="D81" s="9">
        <v>3.2440028000000001</v>
      </c>
      <c r="E81" s="9">
        <v>4.1429562999999998</v>
      </c>
      <c r="F81" s="9">
        <v>1.4891438409802289</v>
      </c>
      <c r="G81" s="9">
        <v>1.4633123487540436</v>
      </c>
      <c r="H81" s="9">
        <v>0.55428885999999999</v>
      </c>
      <c r="I81" s="9">
        <v>-4.9579034000000002</v>
      </c>
      <c r="J81" s="38">
        <f t="shared" si="3"/>
        <v>4.0155550000000014E-3</v>
      </c>
      <c r="K81" s="42">
        <f t="shared" si="4"/>
        <v>-8.9895349999999982E-3</v>
      </c>
      <c r="L81" s="40">
        <f t="shared" si="5"/>
        <v>5.5121922599999998E-2</v>
      </c>
    </row>
    <row r="82" spans="1:12" x14ac:dyDescent="0.2">
      <c r="A82" s="2">
        <v>39538</v>
      </c>
      <c r="B82" s="9">
        <v>4.0921263999999997</v>
      </c>
      <c r="C82" s="9">
        <v>3.5008349999999999</v>
      </c>
      <c r="D82" s="9">
        <v>3.4434266</v>
      </c>
      <c r="E82" s="9">
        <v>3.9749119999999998</v>
      </c>
      <c r="F82" s="9">
        <v>1.4782527926706284</v>
      </c>
      <c r="G82" s="9">
        <v>1.3374629354738894</v>
      </c>
      <c r="H82" s="9">
        <v>0.39119231999999998</v>
      </c>
      <c r="I82" s="9">
        <v>-4.9579034000000002</v>
      </c>
      <c r="J82" s="38">
        <f t="shared" si="3"/>
        <v>5.9129139999999983E-3</v>
      </c>
      <c r="K82" s="42">
        <f t="shared" si="4"/>
        <v>-5.3148539999999973E-3</v>
      </c>
      <c r="L82" s="40">
        <f t="shared" si="5"/>
        <v>5.3490957200000001E-2</v>
      </c>
    </row>
    <row r="83" spans="1:12" x14ac:dyDescent="0.2">
      <c r="A83" s="2">
        <v>39568</v>
      </c>
      <c r="B83" s="9">
        <v>4.3207360000000001</v>
      </c>
      <c r="C83" s="9">
        <v>3.6520049999999999</v>
      </c>
      <c r="D83" s="9">
        <v>3.2419316999999999</v>
      </c>
      <c r="E83" s="9">
        <v>3.903756</v>
      </c>
      <c r="F83" s="9">
        <v>1.4782527926706284</v>
      </c>
      <c r="G83" s="9">
        <v>1.3374629354738894</v>
      </c>
      <c r="H83" s="9">
        <v>0.76990895999999998</v>
      </c>
      <c r="I83" s="9">
        <v>-4.8384130000000001</v>
      </c>
      <c r="J83" s="38">
        <f t="shared" si="3"/>
        <v>6.6873100000000019E-3</v>
      </c>
      <c r="K83" s="42">
        <f t="shared" si="4"/>
        <v>-6.6182430000000011E-3</v>
      </c>
      <c r="L83" s="40">
        <f t="shared" si="5"/>
        <v>5.6083219599999998E-2</v>
      </c>
    </row>
    <row r="84" spans="1:12" x14ac:dyDescent="0.2">
      <c r="A84" s="2">
        <v>39599</v>
      </c>
      <c r="B84" s="9">
        <v>4.437182</v>
      </c>
      <c r="C84" s="9">
        <v>3.8742719000000001</v>
      </c>
      <c r="D84" s="9">
        <v>3.5976469999999998</v>
      </c>
      <c r="E84" s="9">
        <v>4.0884179999999999</v>
      </c>
      <c r="F84" s="9">
        <v>1.4782527926706284</v>
      </c>
      <c r="G84" s="9">
        <v>1.3374629354738894</v>
      </c>
      <c r="H84" s="9">
        <v>0.39056059999999998</v>
      </c>
      <c r="I84" s="9">
        <v>-4.8384130000000001</v>
      </c>
      <c r="J84" s="38">
        <f t="shared" si="3"/>
        <v>5.6291009999999983E-3</v>
      </c>
      <c r="K84" s="42">
        <f t="shared" si="4"/>
        <v>-4.9077100000000009E-3</v>
      </c>
      <c r="L84" s="40">
        <f t="shared" si="5"/>
        <v>5.2289735999999996E-2</v>
      </c>
    </row>
    <row r="85" spans="1:12" x14ac:dyDescent="0.2">
      <c r="A85" s="2">
        <v>39629</v>
      </c>
      <c r="B85" s="9">
        <v>4.7839099999999997</v>
      </c>
      <c r="C85" s="9">
        <v>4.0808999999999997</v>
      </c>
      <c r="D85" s="9">
        <v>3.9178665000000001</v>
      </c>
      <c r="E85" s="9">
        <v>4.9359609999999998</v>
      </c>
      <c r="F85" s="9">
        <v>1.2712696295263415</v>
      </c>
      <c r="G85" s="9">
        <v>1.3343882602656398</v>
      </c>
      <c r="H85" s="9">
        <v>-0.39051839999999999</v>
      </c>
      <c r="I85" s="9">
        <v>-4.8384130000000001</v>
      </c>
      <c r="J85" s="38">
        <f t="shared" si="3"/>
        <v>7.0300999999999992E-3</v>
      </c>
      <c r="K85" s="42">
        <f t="shared" si="4"/>
        <v>-1.0180944999999997E-2</v>
      </c>
      <c r="L85" s="40">
        <f t="shared" si="5"/>
        <v>4.4478945999999998E-2</v>
      </c>
    </row>
    <row r="86" spans="1:12" x14ac:dyDescent="0.2">
      <c r="A86" s="2">
        <v>39660</v>
      </c>
      <c r="B86" s="9">
        <v>4.7583799999999998</v>
      </c>
      <c r="C86" s="9">
        <v>3.9824454999999999</v>
      </c>
      <c r="D86" s="9">
        <v>3.9930097999999998</v>
      </c>
      <c r="E86" s="9">
        <v>5.4975176000000001</v>
      </c>
      <c r="F86" s="9">
        <v>1.2712696295263415</v>
      </c>
      <c r="G86" s="9">
        <v>1.3343882602656398</v>
      </c>
      <c r="H86" s="9">
        <v>-0.43834442000000001</v>
      </c>
      <c r="I86" s="9">
        <v>-4.7840530000000001</v>
      </c>
      <c r="J86" s="38">
        <f t="shared" si="3"/>
        <v>7.759345E-3</v>
      </c>
      <c r="K86" s="42">
        <f t="shared" si="4"/>
        <v>-1.5045078000000003E-2</v>
      </c>
      <c r="L86" s="40">
        <f t="shared" si="5"/>
        <v>4.3457085800000003E-2</v>
      </c>
    </row>
    <row r="87" spans="1:12" x14ac:dyDescent="0.2">
      <c r="A87" s="2">
        <v>39691</v>
      </c>
      <c r="B87" s="9">
        <v>4.4851640000000002</v>
      </c>
      <c r="C87" s="9">
        <v>3.8788570999999998</v>
      </c>
      <c r="D87" s="9">
        <v>3.7985150000000001</v>
      </c>
      <c r="E87" s="9">
        <v>5.3080119999999997</v>
      </c>
      <c r="F87" s="9">
        <v>1.2712696295263415</v>
      </c>
      <c r="G87" s="9">
        <v>1.3343882602656398</v>
      </c>
      <c r="H87" s="9">
        <v>-0.11035336599999999</v>
      </c>
      <c r="I87" s="9">
        <v>-4.7840530000000001</v>
      </c>
      <c r="J87" s="38">
        <f t="shared" si="3"/>
        <v>6.0630690000000034E-3</v>
      </c>
      <c r="K87" s="42">
        <f t="shared" si="4"/>
        <v>-1.5094969999999996E-2</v>
      </c>
      <c r="L87" s="40">
        <f t="shared" si="5"/>
        <v>4.6736996340000003E-2</v>
      </c>
    </row>
    <row r="88" spans="1:12" x14ac:dyDescent="0.2">
      <c r="A88" s="2">
        <v>39721</v>
      </c>
      <c r="B88" s="9">
        <v>4.4479975999999999</v>
      </c>
      <c r="C88" s="9">
        <v>3.6760668999999999</v>
      </c>
      <c r="D88" s="9">
        <v>3.6295700000000002</v>
      </c>
      <c r="E88" s="9">
        <v>4.9533104999999997</v>
      </c>
      <c r="F88" s="9">
        <v>1.037096285757785</v>
      </c>
      <c r="G88" s="9">
        <v>1.0817820088993504</v>
      </c>
      <c r="H88" s="9">
        <v>6.4094159999999997E-2</v>
      </c>
      <c r="I88" s="9">
        <v>-4.7840530000000001</v>
      </c>
      <c r="J88" s="38">
        <f t="shared" si="3"/>
        <v>7.7193069999999999E-3</v>
      </c>
      <c r="K88" s="42">
        <f t="shared" si="4"/>
        <v>-1.3237404999999995E-2</v>
      </c>
      <c r="L88" s="40">
        <f t="shared" si="5"/>
        <v>4.8481471599999999E-2</v>
      </c>
    </row>
    <row r="89" spans="1:12" x14ac:dyDescent="0.2">
      <c r="A89" s="2">
        <v>39752</v>
      </c>
      <c r="B89" s="9">
        <v>4.3130480000000002</v>
      </c>
      <c r="C89" s="9">
        <v>3.7810133000000001</v>
      </c>
      <c r="D89" s="9">
        <v>3.147173</v>
      </c>
      <c r="E89" s="9">
        <v>3.7310607</v>
      </c>
      <c r="F89" s="9">
        <v>1.037096285757785</v>
      </c>
      <c r="G89" s="9">
        <v>1.0817820088993504</v>
      </c>
      <c r="H89" s="9">
        <v>-0.38574340000000001</v>
      </c>
      <c r="I89" s="9">
        <v>-4.2778416000000004</v>
      </c>
      <c r="J89" s="38">
        <f t="shared" si="3"/>
        <v>5.3203470000000004E-3</v>
      </c>
      <c r="K89" s="42">
        <f t="shared" si="4"/>
        <v>-5.8388770000000001E-3</v>
      </c>
      <c r="L89" s="40">
        <f t="shared" si="5"/>
        <v>3.8920982000000007E-2</v>
      </c>
    </row>
    <row r="90" spans="1:12" x14ac:dyDescent="0.2">
      <c r="A90" s="2">
        <v>39782</v>
      </c>
      <c r="B90" s="9">
        <v>4.1144360000000004</v>
      </c>
      <c r="C90" s="9">
        <v>3.5305843000000001</v>
      </c>
      <c r="D90" s="9">
        <v>2.1374366</v>
      </c>
      <c r="E90" s="9">
        <v>1.0999175000000001</v>
      </c>
      <c r="F90" s="9">
        <v>1.037096285757785</v>
      </c>
      <c r="G90" s="9">
        <v>1.0817820088993504</v>
      </c>
      <c r="H90" s="9">
        <v>-0.99939334000000002</v>
      </c>
      <c r="I90" s="9">
        <v>-4.2778416000000004</v>
      </c>
      <c r="J90" s="38">
        <f t="shared" si="3"/>
        <v>5.8385170000000031E-3</v>
      </c>
      <c r="K90" s="42">
        <f t="shared" si="4"/>
        <v>1.0375190999999999E-2</v>
      </c>
      <c r="L90" s="40">
        <f t="shared" si="5"/>
        <v>3.2784482600000005E-2</v>
      </c>
    </row>
    <row r="91" spans="1:12" x14ac:dyDescent="0.2">
      <c r="A91" s="2">
        <v>39813</v>
      </c>
      <c r="B91" s="9">
        <v>3.7134556999999999</v>
      </c>
      <c r="C91" s="9">
        <v>2.385805</v>
      </c>
      <c r="D91" s="9">
        <v>1.5633436000000001</v>
      </c>
      <c r="E91" s="9">
        <v>-2.2243099999999998E-2</v>
      </c>
      <c r="F91" s="9">
        <v>-1.0286906414955661</v>
      </c>
      <c r="G91" s="9">
        <v>-1.1550900774934043</v>
      </c>
      <c r="H91" s="9">
        <v>-0.13139762999999999</v>
      </c>
      <c r="I91" s="9">
        <v>-4.2778416000000004</v>
      </c>
      <c r="J91" s="38">
        <f t="shared" si="3"/>
        <v>1.3276507E-2</v>
      </c>
      <c r="K91" s="42">
        <f t="shared" si="4"/>
        <v>1.5855867000000003E-2</v>
      </c>
      <c r="L91" s="40">
        <f t="shared" si="5"/>
        <v>4.1464439700000001E-2</v>
      </c>
    </row>
    <row r="92" spans="1:12" x14ac:dyDescent="0.2">
      <c r="A92" s="2">
        <v>39844</v>
      </c>
      <c r="B92" s="9">
        <v>3.8833253000000001</v>
      </c>
      <c r="C92" s="9">
        <v>2.4708100000000002</v>
      </c>
      <c r="D92" s="9">
        <v>1.2149722999999999</v>
      </c>
      <c r="E92" s="9">
        <v>-0.11357877</v>
      </c>
      <c r="F92" s="9">
        <v>-1.0286906414955661</v>
      </c>
      <c r="G92" s="9">
        <v>-1.1550900774934043</v>
      </c>
      <c r="H92" s="9">
        <v>-0.62005010000000005</v>
      </c>
      <c r="I92" s="9">
        <v>-2.7552539999999999</v>
      </c>
      <c r="J92" s="38">
        <f t="shared" si="3"/>
        <v>1.4125153E-2</v>
      </c>
      <c r="K92" s="42">
        <f t="shared" si="4"/>
        <v>1.3285510699999998E-2</v>
      </c>
      <c r="L92" s="40">
        <f t="shared" si="5"/>
        <v>2.1352038999999996E-2</v>
      </c>
    </row>
    <row r="93" spans="1:12" x14ac:dyDescent="0.2">
      <c r="A93" s="2">
        <v>39872</v>
      </c>
      <c r="B93" s="9">
        <v>3.9473672</v>
      </c>
      <c r="C93" s="9">
        <v>2.860284</v>
      </c>
      <c r="D93" s="9">
        <v>1.137257</v>
      </c>
      <c r="E93" s="9">
        <v>8.4684430000000008E-3</v>
      </c>
      <c r="F93" s="9">
        <v>-1.0286906414955661</v>
      </c>
      <c r="G93" s="9">
        <v>-1.1550900774934043</v>
      </c>
      <c r="H93" s="9">
        <v>-0.27858093</v>
      </c>
      <c r="I93" s="9">
        <v>-2.7552539999999999</v>
      </c>
      <c r="J93" s="38">
        <f t="shared" si="3"/>
        <v>1.0870831999999999E-2</v>
      </c>
      <c r="K93" s="42">
        <f t="shared" si="4"/>
        <v>1.128788557E-2</v>
      </c>
      <c r="L93" s="40">
        <f t="shared" si="5"/>
        <v>2.47667307E-2</v>
      </c>
    </row>
    <row r="94" spans="1:12" x14ac:dyDescent="0.2">
      <c r="A94" s="2">
        <v>39903</v>
      </c>
      <c r="B94" s="9">
        <v>3.8713554999999999</v>
      </c>
      <c r="C94" s="9">
        <v>2.7991182999999999</v>
      </c>
      <c r="D94" s="9">
        <v>0.60909080000000004</v>
      </c>
      <c r="E94" s="9">
        <v>-0.44648739999999998</v>
      </c>
      <c r="F94" s="9">
        <v>-1.675351686753878</v>
      </c>
      <c r="G94" s="9">
        <v>-1.3072995670032199</v>
      </c>
      <c r="H94" s="9">
        <v>-0.16752249999999999</v>
      </c>
      <c r="I94" s="9">
        <v>-2.7552539999999999</v>
      </c>
      <c r="J94" s="38">
        <f t="shared" si="3"/>
        <v>1.0722372000000001E-2</v>
      </c>
      <c r="K94" s="42">
        <f t="shared" si="4"/>
        <v>1.0555782E-2</v>
      </c>
      <c r="L94" s="40">
        <f t="shared" si="5"/>
        <v>2.5877314999999998E-2</v>
      </c>
    </row>
    <row r="95" spans="1:12" x14ac:dyDescent="0.2">
      <c r="A95" s="2">
        <v>39933</v>
      </c>
      <c r="B95" s="9">
        <v>3.8706019999999999</v>
      </c>
      <c r="C95" s="9">
        <v>2.8880618</v>
      </c>
      <c r="D95" s="9">
        <v>0.45771699999999998</v>
      </c>
      <c r="E95" s="9">
        <v>-0.5763199</v>
      </c>
      <c r="F95" s="9">
        <v>-1.675351686753878</v>
      </c>
      <c r="G95" s="9">
        <v>-1.3072995670032199</v>
      </c>
      <c r="H95" s="9">
        <v>0.87750393000000004</v>
      </c>
      <c r="I95" s="9">
        <v>-2.4222950000000001</v>
      </c>
      <c r="J95" s="38">
        <f t="shared" si="3"/>
        <v>9.8254019999999987E-3</v>
      </c>
      <c r="K95" s="42">
        <f t="shared" si="4"/>
        <v>1.0340369E-2</v>
      </c>
      <c r="L95" s="40">
        <f t="shared" si="5"/>
        <v>3.2997989300000002E-2</v>
      </c>
    </row>
    <row r="96" spans="1:12" x14ac:dyDescent="0.2">
      <c r="A96" s="2">
        <v>39964</v>
      </c>
      <c r="B96" s="9">
        <v>3.9827523</v>
      </c>
      <c r="C96" s="9">
        <v>3.2845496999999999</v>
      </c>
      <c r="D96" s="9">
        <v>3.3433780000000003E-2</v>
      </c>
      <c r="E96" s="9">
        <v>-1.0157655000000001</v>
      </c>
      <c r="F96" s="9">
        <v>-1.675351686753878</v>
      </c>
      <c r="G96" s="9">
        <v>-1.3072995670032199</v>
      </c>
      <c r="H96" s="9">
        <v>1.1443857</v>
      </c>
      <c r="I96" s="9">
        <v>-2.4222950000000001</v>
      </c>
      <c r="J96" s="38">
        <f t="shared" si="3"/>
        <v>6.9820260000000014E-3</v>
      </c>
      <c r="K96" s="42">
        <f t="shared" si="4"/>
        <v>1.0491992800000001E-2</v>
      </c>
      <c r="L96" s="40">
        <f t="shared" si="5"/>
        <v>3.5666807000000002E-2</v>
      </c>
    </row>
    <row r="97" spans="1:12" x14ac:dyDescent="0.2">
      <c r="A97" s="2">
        <v>39994</v>
      </c>
      <c r="B97" s="9">
        <v>4.1209420000000003</v>
      </c>
      <c r="C97" s="9">
        <v>3.7021362999999998</v>
      </c>
      <c r="D97" s="9">
        <v>-0.23026901</v>
      </c>
      <c r="E97" s="9">
        <v>-1.2291671</v>
      </c>
      <c r="F97" s="9">
        <v>-1.6188685006395553</v>
      </c>
      <c r="G97" s="9">
        <v>-1.4388498081299925</v>
      </c>
      <c r="H97" s="9">
        <v>0.75830180000000003</v>
      </c>
      <c r="I97" s="9">
        <v>-2.4222950000000001</v>
      </c>
      <c r="J97" s="38">
        <f t="shared" si="3"/>
        <v>4.1880570000000054E-3</v>
      </c>
      <c r="K97" s="42">
        <f t="shared" si="4"/>
        <v>9.9889808999999996E-3</v>
      </c>
      <c r="L97" s="40">
        <f t="shared" si="5"/>
        <v>3.1805967999999997E-2</v>
      </c>
    </row>
    <row r="98" spans="1:12" x14ac:dyDescent="0.2">
      <c r="A98" s="2">
        <v>40025</v>
      </c>
      <c r="B98" s="9">
        <v>3.9238447999999999</v>
      </c>
      <c r="C98" s="9">
        <v>3.5332859999999999</v>
      </c>
      <c r="D98" s="9">
        <v>-0.68891179999999996</v>
      </c>
      <c r="E98" s="9">
        <v>-1.9587703000000001</v>
      </c>
      <c r="F98" s="9">
        <v>-1.6188685006395553</v>
      </c>
      <c r="G98" s="9">
        <v>-1.4388498081299925</v>
      </c>
      <c r="H98" s="9">
        <v>2.8119177999999998</v>
      </c>
      <c r="I98" s="9">
        <v>-2.5298566999999998</v>
      </c>
      <c r="J98" s="38">
        <f t="shared" si="3"/>
        <v>3.9055879999999998E-3</v>
      </c>
      <c r="K98" s="42">
        <f t="shared" si="4"/>
        <v>1.2698585000000002E-2</v>
      </c>
      <c r="L98" s="40">
        <f t="shared" si="5"/>
        <v>5.3417744999999996E-2</v>
      </c>
    </row>
    <row r="99" spans="1:12" x14ac:dyDescent="0.2">
      <c r="A99" s="2">
        <v>40056</v>
      </c>
      <c r="B99" s="9">
        <v>3.7685300000000002</v>
      </c>
      <c r="C99" s="9">
        <v>3.5771142999999999</v>
      </c>
      <c r="D99" s="9">
        <v>-0.30140713000000002</v>
      </c>
      <c r="E99" s="9">
        <v>-1.483833</v>
      </c>
      <c r="F99" s="9">
        <v>-1.6188685006395553</v>
      </c>
      <c r="G99" s="9">
        <v>-1.4388498081299925</v>
      </c>
      <c r="H99" s="9">
        <v>1.1242805</v>
      </c>
      <c r="I99" s="9">
        <v>-2.5298566999999998</v>
      </c>
      <c r="J99" s="38">
        <f t="shared" si="3"/>
        <v>1.9141570000000029E-3</v>
      </c>
      <c r="K99" s="42">
        <f t="shared" si="4"/>
        <v>1.18242587E-2</v>
      </c>
      <c r="L99" s="40">
        <f t="shared" si="5"/>
        <v>3.6541372000000003E-2</v>
      </c>
    </row>
    <row r="100" spans="1:12" x14ac:dyDescent="0.2">
      <c r="A100" s="2">
        <v>40086</v>
      </c>
      <c r="B100" s="9">
        <v>3.7444842</v>
      </c>
      <c r="C100" s="9">
        <v>3.386571</v>
      </c>
      <c r="D100" s="9">
        <v>-0.54807483999999995</v>
      </c>
      <c r="E100" s="9">
        <v>-1.3779440000000001</v>
      </c>
      <c r="F100" s="9">
        <v>-1.4994703315080586</v>
      </c>
      <c r="G100" s="9">
        <v>-1.2872148311146527</v>
      </c>
      <c r="H100" s="9">
        <v>0.91416319999999995</v>
      </c>
      <c r="I100" s="9">
        <v>-2.5298566999999998</v>
      </c>
      <c r="J100" s="38">
        <f t="shared" si="3"/>
        <v>3.5791320000000005E-3</v>
      </c>
      <c r="K100" s="42">
        <f t="shared" si="4"/>
        <v>8.2986916000000015E-3</v>
      </c>
      <c r="L100" s="40">
        <f t="shared" si="5"/>
        <v>3.4440198999999998E-2</v>
      </c>
    </row>
    <row r="101" spans="1:12" x14ac:dyDescent="0.2">
      <c r="A101" s="2">
        <v>40117</v>
      </c>
      <c r="B101" s="9">
        <v>3.7174113000000002</v>
      </c>
      <c r="C101" s="9">
        <v>3.3664412000000001</v>
      </c>
      <c r="D101" s="9">
        <v>-0.35490866999999998</v>
      </c>
      <c r="E101" s="9">
        <v>-0.22396442</v>
      </c>
      <c r="F101" s="9">
        <v>-1.4994703315080586</v>
      </c>
      <c r="G101" s="9">
        <v>-1.2872148311146527</v>
      </c>
      <c r="H101" s="9">
        <v>1.5929371000000001</v>
      </c>
      <c r="I101" s="9">
        <v>-2.7807593000000002</v>
      </c>
      <c r="J101" s="38">
        <f t="shared" si="3"/>
        <v>3.5097010000000005E-3</v>
      </c>
      <c r="K101" s="42">
        <f t="shared" si="4"/>
        <v>-1.3094424999999998E-3</v>
      </c>
      <c r="L101" s="40">
        <f t="shared" si="5"/>
        <v>4.3736964000000003E-2</v>
      </c>
    </row>
    <row r="102" spans="1:12" x14ac:dyDescent="0.2">
      <c r="A102" s="2">
        <v>40147</v>
      </c>
      <c r="B102" s="9">
        <v>3.7109730000000001</v>
      </c>
      <c r="C102" s="9">
        <v>3.392995</v>
      </c>
      <c r="D102" s="9">
        <v>0.16303300000000001</v>
      </c>
      <c r="E102" s="9">
        <v>1.9145763</v>
      </c>
      <c r="F102" s="9">
        <v>-1.4994703315080586</v>
      </c>
      <c r="G102" s="9">
        <v>-1.2872148311146527</v>
      </c>
      <c r="H102" s="9">
        <v>1.3295653999999999</v>
      </c>
      <c r="I102" s="9">
        <v>-2.7807593000000002</v>
      </c>
      <c r="J102" s="38">
        <f t="shared" si="3"/>
        <v>3.179780000000001E-3</v>
      </c>
      <c r="K102" s="42">
        <f t="shared" si="4"/>
        <v>-1.7515433E-2</v>
      </c>
      <c r="L102" s="40">
        <f t="shared" si="5"/>
        <v>4.1103246999999996E-2</v>
      </c>
    </row>
    <row r="103" spans="1:12" x14ac:dyDescent="0.2">
      <c r="A103" s="2">
        <v>40178</v>
      </c>
      <c r="B103" s="9">
        <v>3.6315580000000001</v>
      </c>
      <c r="C103" s="9">
        <v>3.5796182000000001</v>
      </c>
      <c r="D103" s="9">
        <v>0.61847770000000002</v>
      </c>
      <c r="E103" s="9">
        <v>2.8141280000000002</v>
      </c>
      <c r="F103" s="9">
        <v>-1.0898200752311444</v>
      </c>
      <c r="G103" s="9">
        <v>1.0340209494338177</v>
      </c>
      <c r="H103" s="9">
        <v>2.2631787999999999</v>
      </c>
      <c r="I103" s="9">
        <v>-2.7807593000000002</v>
      </c>
      <c r="J103" s="38">
        <f t="shared" si="3"/>
        <v>5.193979999999998E-4</v>
      </c>
      <c r="K103" s="42">
        <f t="shared" si="4"/>
        <v>-2.1956503000000002E-2</v>
      </c>
      <c r="L103" s="40">
        <f t="shared" si="5"/>
        <v>5.0439380999999998E-2</v>
      </c>
    </row>
    <row r="104" spans="1:12" x14ac:dyDescent="0.2">
      <c r="A104" s="2">
        <v>40209</v>
      </c>
      <c r="B104" s="9">
        <v>3.7036310000000001</v>
      </c>
      <c r="C104" s="9">
        <v>3.7097790000000002</v>
      </c>
      <c r="D104" s="9">
        <v>0.76937944000000003</v>
      </c>
      <c r="E104" s="9">
        <v>2.6211025999999999</v>
      </c>
      <c r="F104" s="9">
        <v>-1.0898200752311444</v>
      </c>
      <c r="G104" s="9">
        <v>1.0340209494338177</v>
      </c>
      <c r="H104" s="9">
        <v>0.47663388000000001</v>
      </c>
      <c r="I104" s="9">
        <v>-2.7913773000000002</v>
      </c>
      <c r="J104" s="38">
        <f t="shared" si="3"/>
        <v>-6.1480000000000421E-5</v>
      </c>
      <c r="K104" s="42">
        <f t="shared" si="4"/>
        <v>-1.85172316E-2</v>
      </c>
      <c r="L104" s="40">
        <f t="shared" si="5"/>
        <v>3.2680111800000002E-2</v>
      </c>
    </row>
    <row r="105" spans="1:12" x14ac:dyDescent="0.2">
      <c r="A105" s="2">
        <v>40237</v>
      </c>
      <c r="B105" s="9">
        <v>3.6711852999999999</v>
      </c>
      <c r="C105" s="9">
        <v>3.6777790000000001</v>
      </c>
      <c r="D105" s="9">
        <v>0.70265299999999997</v>
      </c>
      <c r="E105" s="9">
        <v>2.1513414000000002</v>
      </c>
      <c r="F105" s="9">
        <v>-1.0898200752311444</v>
      </c>
      <c r="G105" s="9">
        <v>1.0340209494338177</v>
      </c>
      <c r="H105" s="9">
        <v>0.44271129999999997</v>
      </c>
      <c r="I105" s="9">
        <v>-2.7913773000000002</v>
      </c>
      <c r="J105" s="38">
        <f t="shared" si="3"/>
        <v>-6.5937000000002577E-5</v>
      </c>
      <c r="K105" s="42">
        <f t="shared" si="4"/>
        <v>-1.4486884000000002E-2</v>
      </c>
      <c r="L105" s="40">
        <f t="shared" si="5"/>
        <v>3.2340885999999999E-2</v>
      </c>
    </row>
    <row r="106" spans="1:12" x14ac:dyDescent="0.2">
      <c r="A106" s="2">
        <v>40268</v>
      </c>
      <c r="B106" s="9">
        <v>3.6035642999999999</v>
      </c>
      <c r="C106" s="9">
        <v>3.7190647000000001</v>
      </c>
      <c r="D106" s="9">
        <v>1.1299471999999999</v>
      </c>
      <c r="E106" s="9">
        <v>2.2861826000000001</v>
      </c>
      <c r="F106" s="9">
        <v>1.3049207978825517</v>
      </c>
      <c r="G106" s="9">
        <v>1.4002138278837237</v>
      </c>
      <c r="H106" s="9">
        <v>0.75577139999999998</v>
      </c>
      <c r="I106" s="9">
        <v>-2.7913773000000002</v>
      </c>
      <c r="J106" s="38">
        <f t="shared" si="3"/>
        <v>-1.1550040000000018E-3</v>
      </c>
      <c r="K106" s="42">
        <f t="shared" si="4"/>
        <v>-1.1562354000000002E-2</v>
      </c>
      <c r="L106" s="40">
        <f t="shared" si="5"/>
        <v>3.5471487000000003E-2</v>
      </c>
    </row>
    <row r="107" spans="1:12" x14ac:dyDescent="0.2">
      <c r="A107" s="2">
        <v>40298</v>
      </c>
      <c r="B107" s="9">
        <v>3.6012377999999998</v>
      </c>
      <c r="C107" s="9">
        <v>3.8182428000000002</v>
      </c>
      <c r="D107" s="9">
        <v>1.3807809</v>
      </c>
      <c r="E107" s="9">
        <v>2.2067709999999998</v>
      </c>
      <c r="F107" s="9">
        <v>1.3049207978825517</v>
      </c>
      <c r="G107" s="9">
        <v>1.4002138278837237</v>
      </c>
      <c r="H107" s="9">
        <v>2.008559</v>
      </c>
      <c r="I107" s="9">
        <v>-2.9835663000000001</v>
      </c>
      <c r="J107" s="38">
        <f t="shared" si="3"/>
        <v>-2.1700500000000032E-3</v>
      </c>
      <c r="K107" s="42">
        <f t="shared" si="4"/>
        <v>-8.2599009999999983E-3</v>
      </c>
      <c r="L107" s="40">
        <f t="shared" si="5"/>
        <v>4.9921252999999999E-2</v>
      </c>
    </row>
    <row r="108" spans="1:12" x14ac:dyDescent="0.2">
      <c r="A108" s="2">
        <v>40329</v>
      </c>
      <c r="B108" s="9">
        <v>3.4338274000000002</v>
      </c>
      <c r="C108" s="9">
        <v>3.4128951999999999</v>
      </c>
      <c r="D108" s="9">
        <v>1.4139942000000001</v>
      </c>
      <c r="E108" s="9">
        <v>2.0035500000000002</v>
      </c>
      <c r="F108" s="9">
        <v>1.3049207978825517</v>
      </c>
      <c r="G108" s="9">
        <v>1.4002138278837237</v>
      </c>
      <c r="H108" s="9">
        <v>0.38000524000000002</v>
      </c>
      <c r="I108" s="9">
        <v>-2.9835663000000001</v>
      </c>
      <c r="J108" s="38">
        <f t="shared" si="3"/>
        <v>2.0932200000000289E-4</v>
      </c>
      <c r="K108" s="42">
        <f t="shared" si="4"/>
        <v>-5.8955580000000004E-3</v>
      </c>
      <c r="L108" s="40">
        <f t="shared" si="5"/>
        <v>3.3635715400000002E-2</v>
      </c>
    </row>
    <row r="109" spans="1:12" x14ac:dyDescent="0.2">
      <c r="A109" s="2">
        <v>40359</v>
      </c>
      <c r="B109" s="9">
        <v>3.4712708000000001</v>
      </c>
      <c r="C109" s="9">
        <v>3.1942179999999998</v>
      </c>
      <c r="D109" s="9">
        <v>1.2140154000000001</v>
      </c>
      <c r="E109" s="9">
        <v>1.1215591</v>
      </c>
      <c r="F109" s="9">
        <v>1.470030542194797</v>
      </c>
      <c r="G109" s="9">
        <v>1.5758885655403692</v>
      </c>
      <c r="H109" s="9">
        <v>0.83558370000000004</v>
      </c>
      <c r="I109" s="9">
        <v>-2.9835663000000001</v>
      </c>
      <c r="J109" s="38">
        <f t="shared" si="3"/>
        <v>2.770528000000003E-3</v>
      </c>
      <c r="K109" s="42">
        <f t="shared" si="4"/>
        <v>9.2456300000000042E-4</v>
      </c>
      <c r="L109" s="40">
        <f t="shared" si="5"/>
        <v>3.8191500000000003E-2</v>
      </c>
    </row>
    <row r="110" spans="1:12" x14ac:dyDescent="0.2">
      <c r="A110" s="2">
        <v>40390</v>
      </c>
      <c r="B110" s="9">
        <v>3.4157525999999998</v>
      </c>
      <c r="C110" s="9">
        <v>2.9850430000000001</v>
      </c>
      <c r="D110" s="9">
        <v>1.4912008000000001</v>
      </c>
      <c r="E110" s="9">
        <v>1.3407800999999999</v>
      </c>
      <c r="F110" s="9">
        <v>1.470030542194797</v>
      </c>
      <c r="G110" s="9">
        <v>1.5758885655403692</v>
      </c>
      <c r="H110" s="9">
        <v>1.6776911000000001</v>
      </c>
      <c r="I110" s="9">
        <v>-3.0807562000000002</v>
      </c>
      <c r="J110" s="38">
        <f t="shared" si="3"/>
        <v>4.3070959999999972E-3</v>
      </c>
      <c r="K110" s="42">
        <f t="shared" si="4"/>
        <v>1.5042070000000018E-3</v>
      </c>
      <c r="L110" s="40">
        <f t="shared" si="5"/>
        <v>4.7584473000000002E-2</v>
      </c>
    </row>
    <row r="111" spans="1:12" x14ac:dyDescent="0.2">
      <c r="A111" s="2">
        <v>40421</v>
      </c>
      <c r="B111" s="9">
        <v>3.1424582000000001</v>
      </c>
      <c r="C111" s="9">
        <v>2.6867774</v>
      </c>
      <c r="D111" s="9">
        <v>1.3289713999999999</v>
      </c>
      <c r="E111" s="9">
        <v>1.1501718999999999</v>
      </c>
      <c r="F111" s="9">
        <v>1.470030542194797</v>
      </c>
      <c r="G111" s="9">
        <v>1.5758885655403692</v>
      </c>
      <c r="H111" s="9">
        <v>0.83620994999999998</v>
      </c>
      <c r="I111" s="9">
        <v>-3.0807562000000002</v>
      </c>
      <c r="J111" s="38">
        <f t="shared" si="3"/>
        <v>4.5568080000000007E-3</v>
      </c>
      <c r="K111" s="42">
        <f t="shared" si="4"/>
        <v>1.7879949999999999E-3</v>
      </c>
      <c r="L111" s="40">
        <f t="shared" si="5"/>
        <v>3.9169661500000001E-2</v>
      </c>
    </row>
    <row r="112" spans="1:12" x14ac:dyDescent="0.2">
      <c r="A112" s="2">
        <v>40451</v>
      </c>
      <c r="B112" s="9">
        <v>3.1924229</v>
      </c>
      <c r="C112" s="9">
        <v>2.6352093000000001</v>
      </c>
      <c r="D112" s="9">
        <v>1.5736756000000001</v>
      </c>
      <c r="E112" s="9">
        <v>1.1183136</v>
      </c>
      <c r="F112" s="9">
        <v>1.4836765938189762</v>
      </c>
      <c r="G112" s="9">
        <v>1.6316868882601168</v>
      </c>
      <c r="H112" s="9">
        <v>1.35378</v>
      </c>
      <c r="I112" s="9">
        <v>-3.0807562000000002</v>
      </c>
      <c r="J112" s="38">
        <f t="shared" si="3"/>
        <v>5.5721359999999984E-3</v>
      </c>
      <c r="K112" s="42">
        <f t="shared" si="4"/>
        <v>4.5536200000000004E-3</v>
      </c>
      <c r="L112" s="40">
        <f t="shared" si="5"/>
        <v>4.4345361999999999E-2</v>
      </c>
    </row>
    <row r="113" spans="1:12" x14ac:dyDescent="0.2">
      <c r="A113" s="2">
        <v>40482</v>
      </c>
      <c r="B113" s="9">
        <v>3.2137009999999999</v>
      </c>
      <c r="C113" s="9">
        <v>2.5077712999999999</v>
      </c>
      <c r="D113" s="9">
        <v>1.6721606</v>
      </c>
      <c r="E113" s="9">
        <v>1.1666966999999999</v>
      </c>
      <c r="F113" s="9">
        <v>1.4836765938189762</v>
      </c>
      <c r="G113" s="9">
        <v>1.6316868882601168</v>
      </c>
      <c r="H113" s="9">
        <v>1.8794365</v>
      </c>
      <c r="I113" s="9">
        <v>-2.6289866000000002</v>
      </c>
      <c r="J113" s="38">
        <f t="shared" si="3"/>
        <v>7.059297E-3</v>
      </c>
      <c r="K113" s="42">
        <f t="shared" si="4"/>
        <v>5.0546390000000005E-3</v>
      </c>
      <c r="L113" s="40">
        <f t="shared" si="5"/>
        <v>4.5084231000000002E-2</v>
      </c>
    </row>
    <row r="114" spans="1:12" x14ac:dyDescent="0.2">
      <c r="A114" s="2">
        <v>40512</v>
      </c>
      <c r="B114" s="9">
        <v>3.5638787999999999</v>
      </c>
      <c r="C114" s="9">
        <v>2.7372049999999999</v>
      </c>
      <c r="D114" s="9">
        <v>1.6534952000000001</v>
      </c>
      <c r="E114" s="9">
        <v>1.0845476000000001</v>
      </c>
      <c r="F114" s="9">
        <v>1.4836765938189762</v>
      </c>
      <c r="G114" s="9">
        <v>1.6316868882601168</v>
      </c>
      <c r="H114" s="9">
        <v>0.93871415000000002</v>
      </c>
      <c r="I114" s="9">
        <v>-2.6289866000000002</v>
      </c>
      <c r="J114" s="38">
        <f t="shared" si="3"/>
        <v>8.2667380000000009E-3</v>
      </c>
      <c r="K114" s="42">
        <f t="shared" si="4"/>
        <v>5.6894759999999997E-3</v>
      </c>
      <c r="L114" s="40">
        <f t="shared" si="5"/>
        <v>3.5677007500000003E-2</v>
      </c>
    </row>
    <row r="115" spans="1:12" x14ac:dyDescent="0.2">
      <c r="A115" s="2">
        <v>40543</v>
      </c>
      <c r="B115" s="9">
        <v>3.9622419999999998</v>
      </c>
      <c r="C115" s="9">
        <v>3.2797136</v>
      </c>
      <c r="D115" s="9">
        <v>1.9605364999999999</v>
      </c>
      <c r="E115" s="9">
        <v>1.4377902</v>
      </c>
      <c r="F115" s="9">
        <v>1.5067908836118367</v>
      </c>
      <c r="G115" s="9">
        <v>1.5571935213835082</v>
      </c>
      <c r="H115" s="9">
        <v>1.0749276000000001</v>
      </c>
      <c r="I115" s="9">
        <v>-2.6289866000000002</v>
      </c>
      <c r="J115" s="38">
        <f t="shared" si="3"/>
        <v>6.8252839999999983E-3</v>
      </c>
      <c r="K115" s="42">
        <f t="shared" si="4"/>
        <v>5.227462999999999E-3</v>
      </c>
      <c r="L115" s="40">
        <f t="shared" si="5"/>
        <v>3.7039142000000004E-2</v>
      </c>
    </row>
    <row r="116" spans="1:12" x14ac:dyDescent="0.2">
      <c r="A116" s="2">
        <v>40574</v>
      </c>
      <c r="B116" s="9">
        <v>4.0576869999999996</v>
      </c>
      <c r="C116" s="9">
        <v>3.3681000000000001</v>
      </c>
      <c r="D116" s="9">
        <v>2.1084242</v>
      </c>
      <c r="E116" s="9">
        <v>1.7007838</v>
      </c>
      <c r="F116" s="9">
        <v>1.5067908836118367</v>
      </c>
      <c r="G116" s="9">
        <v>1.5571935213835082</v>
      </c>
      <c r="H116" s="9">
        <v>0.42644346</v>
      </c>
      <c r="I116" s="9">
        <v>-3.1068340000000001</v>
      </c>
      <c r="J116" s="38">
        <f t="shared" si="3"/>
        <v>6.8958699999999949E-3</v>
      </c>
      <c r="K116" s="42">
        <f t="shared" si="4"/>
        <v>4.0764040000000005E-3</v>
      </c>
      <c r="L116" s="40">
        <f t="shared" si="5"/>
        <v>3.5332774599999998E-2</v>
      </c>
    </row>
    <row r="117" spans="1:12" x14ac:dyDescent="0.2">
      <c r="A117" s="2">
        <v>40602</v>
      </c>
      <c r="B117" s="9">
        <v>4.1694417000000001</v>
      </c>
      <c r="C117" s="9">
        <v>3.5652108</v>
      </c>
      <c r="D117" s="9">
        <v>2.2949777</v>
      </c>
      <c r="E117" s="9">
        <v>2.1248955999999999</v>
      </c>
      <c r="F117" s="9">
        <v>1.5067908836118367</v>
      </c>
      <c r="G117" s="9">
        <v>1.5571935213835082</v>
      </c>
      <c r="H117" s="9">
        <v>0.32494527000000001</v>
      </c>
      <c r="I117" s="9">
        <v>-3.1068340000000001</v>
      </c>
      <c r="J117" s="38">
        <f t="shared" si="3"/>
        <v>6.0423090000000009E-3</v>
      </c>
      <c r="K117" s="42">
        <f t="shared" si="4"/>
        <v>1.7008210000000012E-3</v>
      </c>
      <c r="L117" s="40">
        <f t="shared" si="5"/>
        <v>3.4317792700000002E-2</v>
      </c>
    </row>
    <row r="118" spans="1:12" x14ac:dyDescent="0.2">
      <c r="A118" s="2">
        <v>40633</v>
      </c>
      <c r="B118" s="9">
        <v>4.2412150000000004</v>
      </c>
      <c r="C118" s="9">
        <v>3.4084474999999999</v>
      </c>
      <c r="D118" s="9">
        <v>2.4494723999999999</v>
      </c>
      <c r="E118" s="9">
        <v>2.6192381</v>
      </c>
      <c r="F118" s="9">
        <v>1.5853081496089583</v>
      </c>
      <c r="G118" s="9">
        <v>1.4482821829050117</v>
      </c>
      <c r="H118" s="9">
        <v>0.87936049999999999</v>
      </c>
      <c r="I118" s="9">
        <v>-3.1068340000000001</v>
      </c>
      <c r="J118" s="38">
        <f t="shared" si="3"/>
        <v>8.3276750000000049E-3</v>
      </c>
      <c r="K118" s="42">
        <f t="shared" si="4"/>
        <v>-1.6976570000000013E-3</v>
      </c>
      <c r="L118" s="40">
        <f t="shared" si="5"/>
        <v>3.9861944999999996E-2</v>
      </c>
    </row>
    <row r="119" spans="1:12" x14ac:dyDescent="0.2">
      <c r="A119" s="2">
        <v>40663</v>
      </c>
      <c r="B119" s="9">
        <v>4.3485217</v>
      </c>
      <c r="C119" s="9">
        <v>3.4377800000000001</v>
      </c>
      <c r="D119" s="9">
        <v>2.5759341999999998</v>
      </c>
      <c r="E119" s="9">
        <v>3.0772227999999999</v>
      </c>
      <c r="F119" s="9">
        <v>1.5853081496089583</v>
      </c>
      <c r="G119" s="9">
        <v>1.4482821829050117</v>
      </c>
      <c r="H119" s="9">
        <v>0.63472030000000002</v>
      </c>
      <c r="I119" s="9">
        <v>-3.0707939999999998</v>
      </c>
      <c r="J119" s="38">
        <f t="shared" si="3"/>
        <v>9.1074169999999996E-3</v>
      </c>
      <c r="K119" s="42">
        <f t="shared" si="4"/>
        <v>-5.0128860000000011E-3</v>
      </c>
      <c r="L119" s="40">
        <f t="shared" si="5"/>
        <v>3.7055142999999999E-2</v>
      </c>
    </row>
    <row r="120" spans="1:12" x14ac:dyDescent="0.2">
      <c r="A120" s="2">
        <v>40694</v>
      </c>
      <c r="B120" s="9">
        <v>4.2289580000000004</v>
      </c>
      <c r="C120" s="9">
        <v>3.16</v>
      </c>
      <c r="D120" s="9">
        <v>2.5408955</v>
      </c>
      <c r="E120" s="9">
        <v>3.4589745999999999</v>
      </c>
      <c r="F120" s="9">
        <v>1.5853081496089583</v>
      </c>
      <c r="G120" s="9">
        <v>1.4482821829050117</v>
      </c>
      <c r="H120" s="9">
        <v>0.38829451999999998</v>
      </c>
      <c r="I120" s="9">
        <v>-3.0707939999999998</v>
      </c>
      <c r="J120" s="38">
        <f t="shared" si="3"/>
        <v>1.0689580000000002E-2</v>
      </c>
      <c r="K120" s="42">
        <f t="shared" si="4"/>
        <v>-9.1807909999999989E-3</v>
      </c>
      <c r="L120" s="40">
        <f t="shared" si="5"/>
        <v>3.4590885199999998E-2</v>
      </c>
    </row>
    <row r="121" spans="1:12" x14ac:dyDescent="0.2">
      <c r="A121" s="2">
        <v>40724</v>
      </c>
      <c r="B121" s="9">
        <v>4.2403209999999998</v>
      </c>
      <c r="C121" s="9">
        <v>2.9893681999999999</v>
      </c>
      <c r="D121" s="9">
        <v>2.5120654</v>
      </c>
      <c r="E121" s="9">
        <v>3.5023184000000001</v>
      </c>
      <c r="F121" s="9">
        <v>1.4457445586784294</v>
      </c>
      <c r="G121" s="9">
        <v>1.3999492838770757</v>
      </c>
      <c r="H121" s="9">
        <v>1.1487297999999999</v>
      </c>
      <c r="I121" s="9">
        <v>-3.0707939999999998</v>
      </c>
      <c r="J121" s="38">
        <f t="shared" si="3"/>
        <v>1.2509527999999999E-2</v>
      </c>
      <c r="K121" s="42">
        <f t="shared" si="4"/>
        <v>-9.9025299999999997E-3</v>
      </c>
      <c r="L121" s="40">
        <f t="shared" si="5"/>
        <v>4.2195237999999996E-2</v>
      </c>
    </row>
    <row r="122" spans="1:12" x14ac:dyDescent="0.2">
      <c r="A122" s="2">
        <v>40755</v>
      </c>
      <c r="B122" s="9">
        <v>4.386698</v>
      </c>
      <c r="C122" s="9">
        <v>2.9773705000000001</v>
      </c>
      <c r="D122" s="9">
        <v>2.6179230000000002</v>
      </c>
      <c r="E122" s="9">
        <v>3.5798825999999999</v>
      </c>
      <c r="F122" s="9">
        <v>1.4457445586784294</v>
      </c>
      <c r="G122" s="9">
        <v>1.3999492838770757</v>
      </c>
      <c r="H122" s="9">
        <v>1.5231631999999999</v>
      </c>
      <c r="I122" s="9">
        <v>-2.7316509999999998</v>
      </c>
      <c r="J122" s="38">
        <f t="shared" si="3"/>
        <v>1.4093274999999999E-2</v>
      </c>
      <c r="K122" s="42">
        <f t="shared" si="4"/>
        <v>-9.6195959999999976E-3</v>
      </c>
      <c r="L122" s="40">
        <f t="shared" si="5"/>
        <v>4.2548142000000004E-2</v>
      </c>
    </row>
    <row r="123" spans="1:12" x14ac:dyDescent="0.2">
      <c r="A123" s="2">
        <v>40786</v>
      </c>
      <c r="B123" s="9">
        <v>3.8640351000000002</v>
      </c>
      <c r="C123" s="9">
        <v>2.2917961999999998</v>
      </c>
      <c r="D123" s="9">
        <v>2.6363652000000002</v>
      </c>
      <c r="E123" s="9">
        <v>3.7550045999999999</v>
      </c>
      <c r="F123" s="9">
        <v>1.4457445586784294</v>
      </c>
      <c r="G123" s="9">
        <v>1.3999492838770757</v>
      </c>
      <c r="H123" s="9">
        <v>1.4966744000000001</v>
      </c>
      <c r="I123" s="9">
        <v>-2.7316509999999998</v>
      </c>
      <c r="J123" s="38">
        <f t="shared" si="3"/>
        <v>1.5722389000000003E-2</v>
      </c>
      <c r="K123" s="42">
        <f t="shared" si="4"/>
        <v>-1.1186393999999997E-2</v>
      </c>
      <c r="L123" s="40">
        <f t="shared" si="5"/>
        <v>4.2283253999999999E-2</v>
      </c>
    </row>
    <row r="124" spans="1:12" x14ac:dyDescent="0.2">
      <c r="A124" s="2">
        <v>40816</v>
      </c>
      <c r="B124" s="9">
        <v>3.6527883999999999</v>
      </c>
      <c r="C124" s="9">
        <v>1.9616811000000001</v>
      </c>
      <c r="D124" s="9">
        <v>2.7815037</v>
      </c>
      <c r="E124" s="9">
        <v>3.8126350000000002</v>
      </c>
      <c r="F124" s="9">
        <v>1.3744977647842749</v>
      </c>
      <c r="G124" s="9">
        <v>1.2477619558515134</v>
      </c>
      <c r="H124" s="9">
        <v>2.1743994</v>
      </c>
      <c r="I124" s="9">
        <v>-2.7316509999999998</v>
      </c>
      <c r="J124" s="38">
        <f t="shared" si="3"/>
        <v>1.6911072999999999E-2</v>
      </c>
      <c r="K124" s="42">
        <f t="shared" si="4"/>
        <v>-1.0311313000000003E-2</v>
      </c>
      <c r="L124" s="40">
        <f t="shared" si="5"/>
        <v>4.9060503999999998E-2</v>
      </c>
    </row>
    <row r="125" spans="1:12" x14ac:dyDescent="0.2">
      <c r="A125" s="2">
        <v>40847</v>
      </c>
      <c r="B125" s="9">
        <v>3.8525160000000001</v>
      </c>
      <c r="C125" s="9">
        <v>2.1295332999999999</v>
      </c>
      <c r="D125" s="9">
        <v>2.8095330000000001</v>
      </c>
      <c r="E125" s="9">
        <v>3.5222582999999998</v>
      </c>
      <c r="F125" s="9">
        <v>1.3744977647842749</v>
      </c>
      <c r="G125" s="9">
        <v>1.2477619558515134</v>
      </c>
      <c r="H125" s="9">
        <v>1.8271217</v>
      </c>
      <c r="I125" s="9">
        <v>-2.7715998000000002</v>
      </c>
      <c r="J125" s="38">
        <f t="shared" si="3"/>
        <v>1.7229827000000003E-2</v>
      </c>
      <c r="K125" s="42">
        <f t="shared" si="4"/>
        <v>-7.1272529999999975E-3</v>
      </c>
      <c r="L125" s="40">
        <f t="shared" si="5"/>
        <v>4.5987214999999998E-2</v>
      </c>
    </row>
    <row r="126" spans="1:12" x14ac:dyDescent="0.2">
      <c r="A126" s="2">
        <v>40877</v>
      </c>
      <c r="B126" s="9">
        <v>4.1967688000000001</v>
      </c>
      <c r="C126" s="9">
        <v>2.0081380000000002</v>
      </c>
      <c r="D126" s="9">
        <v>2.8165483</v>
      </c>
      <c r="E126" s="9">
        <v>3.4514426999999999</v>
      </c>
      <c r="F126" s="9">
        <v>1.3744977647842749</v>
      </c>
      <c r="G126" s="9">
        <v>1.2477619558515134</v>
      </c>
      <c r="H126" s="9">
        <v>1.8758082</v>
      </c>
      <c r="I126" s="9">
        <v>-2.7715998000000002</v>
      </c>
      <c r="J126" s="38">
        <f t="shared" si="3"/>
        <v>2.1886308E-2</v>
      </c>
      <c r="K126" s="42">
        <f t="shared" si="4"/>
        <v>-6.3489439999999987E-3</v>
      </c>
      <c r="L126" s="40">
        <f t="shared" si="5"/>
        <v>4.6474080000000001E-2</v>
      </c>
    </row>
    <row r="127" spans="1:12" x14ac:dyDescent="0.2">
      <c r="A127" s="2">
        <v>40908</v>
      </c>
      <c r="B127" s="9">
        <v>4.0599265000000004</v>
      </c>
      <c r="C127" s="9">
        <v>1.9714334</v>
      </c>
      <c r="D127" s="9">
        <v>2.5351319999999999</v>
      </c>
      <c r="E127" s="9">
        <v>3.0620785000000001</v>
      </c>
      <c r="F127" s="9">
        <v>1.1911815583514247</v>
      </c>
      <c r="G127" s="9">
        <v>1.3649591869257152</v>
      </c>
      <c r="H127" s="9">
        <v>2.1490402</v>
      </c>
      <c r="I127" s="9">
        <v>-2.7715998000000002</v>
      </c>
      <c r="J127" s="38">
        <f t="shared" si="3"/>
        <v>2.0884931000000006E-2</v>
      </c>
      <c r="K127" s="42">
        <f t="shared" si="4"/>
        <v>-5.2694650000000018E-3</v>
      </c>
      <c r="L127" s="40">
        <f t="shared" si="5"/>
        <v>4.9206400000000004E-2</v>
      </c>
    </row>
    <row r="128" spans="1:12" x14ac:dyDescent="0.2">
      <c r="A128" s="2">
        <v>40939</v>
      </c>
      <c r="B128" s="9">
        <v>3.9181333</v>
      </c>
      <c r="C128" s="9">
        <v>1.9444448999999999</v>
      </c>
      <c r="D128" s="9">
        <v>2.4725435</v>
      </c>
      <c r="E128" s="9">
        <v>3.0087643000000002</v>
      </c>
      <c r="F128" s="9">
        <v>1.1911815583514247</v>
      </c>
      <c r="G128" s="9">
        <v>1.3649591869257152</v>
      </c>
      <c r="H128" s="9">
        <v>1.3379878000000001</v>
      </c>
      <c r="I128" s="9">
        <v>-2.8356059999999998</v>
      </c>
      <c r="J128" s="38">
        <f t="shared" si="3"/>
        <v>1.9736884E-2</v>
      </c>
      <c r="K128" s="42">
        <f t="shared" si="4"/>
        <v>-5.362208000000002E-3</v>
      </c>
      <c r="L128" s="40">
        <f t="shared" si="5"/>
        <v>4.1735938E-2</v>
      </c>
    </row>
    <row r="129" spans="1:12" x14ac:dyDescent="0.2">
      <c r="A129" s="2">
        <v>40968</v>
      </c>
      <c r="B129" s="9">
        <v>3.6476981999999998</v>
      </c>
      <c r="C129" s="9">
        <v>1.9607999</v>
      </c>
      <c r="D129" s="9">
        <v>2.5366282</v>
      </c>
      <c r="E129" s="9">
        <v>2.8981754999999998</v>
      </c>
      <c r="F129" s="9">
        <v>1.1911815583514247</v>
      </c>
      <c r="G129" s="9">
        <v>1.3649591869257152</v>
      </c>
      <c r="H129" s="9">
        <v>0.91330169999999999</v>
      </c>
      <c r="I129" s="9">
        <v>-2.8356059999999998</v>
      </c>
      <c r="J129" s="38">
        <f t="shared" si="3"/>
        <v>1.6868982999999997E-2</v>
      </c>
      <c r="K129" s="42">
        <f t="shared" si="4"/>
        <v>-3.615472999999998E-3</v>
      </c>
      <c r="L129" s="40">
        <f t="shared" si="5"/>
        <v>3.7489076999999996E-2</v>
      </c>
    </row>
    <row r="130" spans="1:12" x14ac:dyDescent="0.2">
      <c r="A130" s="2">
        <v>40999</v>
      </c>
      <c r="B130" s="9">
        <v>3.560988</v>
      </c>
      <c r="C130" s="9">
        <v>2.1629323999999999</v>
      </c>
      <c r="D130" s="9">
        <v>2.4690409999999998</v>
      </c>
      <c r="E130" s="9">
        <v>2.5828757000000002</v>
      </c>
      <c r="F130" s="9">
        <v>0.77993928959870817</v>
      </c>
      <c r="G130" s="9">
        <v>1.5380004407909753</v>
      </c>
      <c r="H130" s="9">
        <v>1.9303576</v>
      </c>
      <c r="I130" s="9">
        <v>-2.8356059999999998</v>
      </c>
      <c r="J130" s="38">
        <f t="shared" si="3"/>
        <v>1.3980556000000002E-2</v>
      </c>
      <c r="K130" s="42">
        <f t="shared" si="4"/>
        <v>-1.138347000000004E-3</v>
      </c>
      <c r="L130" s="40">
        <f t="shared" si="5"/>
        <v>4.7659635999999998E-2</v>
      </c>
    </row>
    <row r="131" spans="1:12" x14ac:dyDescent="0.2">
      <c r="A131" s="2">
        <v>41029</v>
      </c>
      <c r="B131" s="9">
        <v>3.6376270000000002</v>
      </c>
      <c r="C131" s="9">
        <v>2.0304297999999998</v>
      </c>
      <c r="D131" s="9">
        <v>2.3479831</v>
      </c>
      <c r="E131" s="9">
        <v>2.2731650000000001</v>
      </c>
      <c r="F131" s="9">
        <v>0.77993928959870817</v>
      </c>
      <c r="G131" s="9">
        <v>1.5380004407909753</v>
      </c>
      <c r="H131" s="9">
        <v>1.5588921</v>
      </c>
      <c r="I131" s="9">
        <v>-2.7149556000000001</v>
      </c>
      <c r="J131" s="38">
        <f t="shared" si="3"/>
        <v>1.6071972000000004E-2</v>
      </c>
      <c r="K131" s="42">
        <f t="shared" si="4"/>
        <v>7.4818099999999891E-4</v>
      </c>
      <c r="L131" s="40">
        <f t="shared" si="5"/>
        <v>4.2738477000000004E-2</v>
      </c>
    </row>
    <row r="132" spans="1:12" x14ac:dyDescent="0.2">
      <c r="A132" s="2">
        <v>41060</v>
      </c>
      <c r="B132" s="9">
        <v>3.5178710999999998</v>
      </c>
      <c r="C132" s="9">
        <v>1.7895318</v>
      </c>
      <c r="D132" s="9">
        <v>2.171332</v>
      </c>
      <c r="E132" s="9">
        <v>1.7379370999999999</v>
      </c>
      <c r="F132" s="9">
        <v>0.77993928959870817</v>
      </c>
      <c r="G132" s="9">
        <v>1.5380004407909753</v>
      </c>
      <c r="H132" s="9">
        <v>1.8877107</v>
      </c>
      <c r="I132" s="9">
        <v>-2.7149556000000001</v>
      </c>
      <c r="J132" s="38">
        <f t="shared" ref="J132:J195" si="6">(B132-C132)/100</f>
        <v>1.7283392999999998E-2</v>
      </c>
      <c r="K132" s="42">
        <f t="shared" ref="K132:K195" si="7">(D132-E132)/100</f>
        <v>4.333949000000001E-3</v>
      </c>
      <c r="L132" s="40">
        <f t="shared" ref="L132:L195" si="8">(H132-I132)/100</f>
        <v>4.6026663000000002E-2</v>
      </c>
    </row>
    <row r="133" spans="1:12" x14ac:dyDescent="0.2">
      <c r="A133" s="2">
        <v>41090</v>
      </c>
      <c r="B133" s="9">
        <v>3.5131093999999998</v>
      </c>
      <c r="C133" s="9">
        <v>1.6098334999999999</v>
      </c>
      <c r="D133" s="9">
        <v>2.1824469999999998</v>
      </c>
      <c r="E133" s="9">
        <v>1.6538683000000001</v>
      </c>
      <c r="F133" s="9">
        <v>0.52965272135276265</v>
      </c>
      <c r="G133" s="9">
        <v>1.5041879262637554</v>
      </c>
      <c r="H133" s="9">
        <v>3.3786714</v>
      </c>
      <c r="I133" s="9">
        <v>-2.7149556000000001</v>
      </c>
      <c r="J133" s="38">
        <f t="shared" si="6"/>
        <v>1.9032759E-2</v>
      </c>
      <c r="K133" s="42">
        <f t="shared" si="7"/>
        <v>5.2857869999999975E-3</v>
      </c>
      <c r="L133" s="40">
        <f t="shared" si="8"/>
        <v>6.0936269999999994E-2</v>
      </c>
    </row>
    <row r="134" spans="1:12" x14ac:dyDescent="0.2">
      <c r="A134" s="2">
        <v>41121</v>
      </c>
      <c r="B134" s="9">
        <v>3.3639999999999999</v>
      </c>
      <c r="C134" s="9">
        <v>1.5010477</v>
      </c>
      <c r="D134" s="9">
        <v>2.1925718999999999</v>
      </c>
      <c r="E134" s="9">
        <v>1.4175104999999999</v>
      </c>
      <c r="F134" s="9">
        <v>0.52965272135276265</v>
      </c>
      <c r="G134" s="9">
        <v>1.5041879262637554</v>
      </c>
      <c r="H134" s="9">
        <v>3.2772128999999999</v>
      </c>
      <c r="I134" s="9">
        <v>-2.4232545000000001</v>
      </c>
      <c r="J134" s="38">
        <f t="shared" si="6"/>
        <v>1.8629522999999999E-2</v>
      </c>
      <c r="K134" s="42">
        <f t="shared" si="7"/>
        <v>7.7506140000000003E-3</v>
      </c>
      <c r="L134" s="40">
        <f t="shared" si="8"/>
        <v>5.7004673999999998E-2</v>
      </c>
    </row>
    <row r="135" spans="1:12" x14ac:dyDescent="0.2">
      <c r="A135" s="2">
        <v>41152</v>
      </c>
      <c r="B135" s="9">
        <v>3.2843255999999998</v>
      </c>
      <c r="C135" s="9">
        <v>1.6716956999999999</v>
      </c>
      <c r="D135" s="9">
        <v>2.3859376999999999</v>
      </c>
      <c r="E135" s="9">
        <v>1.6859280000000001</v>
      </c>
      <c r="F135" s="9">
        <v>0.52965272135276265</v>
      </c>
      <c r="G135" s="9">
        <v>1.5041879262637554</v>
      </c>
      <c r="H135" s="9">
        <v>2.8151969999999999</v>
      </c>
      <c r="I135" s="9">
        <v>-2.4232545000000001</v>
      </c>
      <c r="J135" s="38">
        <f t="shared" si="6"/>
        <v>1.6126299E-2</v>
      </c>
      <c r="K135" s="42">
        <f t="shared" si="7"/>
        <v>7.0000969999999985E-3</v>
      </c>
      <c r="L135" s="40">
        <f t="shared" si="8"/>
        <v>5.2384515E-2</v>
      </c>
    </row>
    <row r="136" spans="1:12" x14ac:dyDescent="0.2">
      <c r="A136" s="2">
        <v>41182</v>
      </c>
      <c r="B136" s="9">
        <v>3.1410596000000002</v>
      </c>
      <c r="C136" s="9">
        <v>1.7094738</v>
      </c>
      <c r="D136" s="9">
        <v>2.4315403</v>
      </c>
      <c r="E136" s="9">
        <v>1.949713</v>
      </c>
      <c r="F136" s="9">
        <v>-0.27064136508161435</v>
      </c>
      <c r="G136" s="9">
        <v>1.5288797244473629</v>
      </c>
      <c r="H136" s="9">
        <v>2.5312592999999999</v>
      </c>
      <c r="I136" s="9">
        <v>-2.4232545000000001</v>
      </c>
      <c r="J136" s="38">
        <f t="shared" si="6"/>
        <v>1.4315858000000001E-2</v>
      </c>
      <c r="K136" s="42">
        <f t="shared" si="7"/>
        <v>4.8182729999999997E-3</v>
      </c>
      <c r="L136" s="40">
        <f t="shared" si="8"/>
        <v>4.9545138000000002E-2</v>
      </c>
    </row>
    <row r="137" spans="1:12" x14ac:dyDescent="0.2">
      <c r="A137" s="2">
        <v>41213</v>
      </c>
      <c r="B137" s="9">
        <v>3.0143287000000001</v>
      </c>
      <c r="C137" s="9">
        <v>1.7258571</v>
      </c>
      <c r="D137" s="9">
        <v>2.3485548000000001</v>
      </c>
      <c r="E137" s="9">
        <v>2.1556839999999999</v>
      </c>
      <c r="F137" s="9">
        <v>-0.27064136508161435</v>
      </c>
      <c r="G137" s="9">
        <v>1.5288797244473629</v>
      </c>
      <c r="H137" s="9">
        <v>2.8121307</v>
      </c>
      <c r="I137" s="9">
        <v>-2.3239356999999998</v>
      </c>
      <c r="J137" s="38">
        <f t="shared" si="6"/>
        <v>1.2884716000000001E-2</v>
      </c>
      <c r="K137" s="42">
        <f t="shared" si="7"/>
        <v>1.9287080000000012E-3</v>
      </c>
      <c r="L137" s="40">
        <f t="shared" si="8"/>
        <v>5.1360664E-2</v>
      </c>
    </row>
    <row r="138" spans="1:12" x14ac:dyDescent="0.2">
      <c r="A138" s="2">
        <v>41243</v>
      </c>
      <c r="B138" s="9">
        <v>2.9316586999999998</v>
      </c>
      <c r="C138" s="9">
        <v>1.6453333000000001</v>
      </c>
      <c r="D138" s="9">
        <v>2.0627875000000002</v>
      </c>
      <c r="E138" s="9">
        <v>1.7960100999999999</v>
      </c>
      <c r="F138" s="9">
        <v>-0.27064136508161435</v>
      </c>
      <c r="G138" s="9">
        <v>1.5288797244473629</v>
      </c>
      <c r="H138" s="9">
        <v>2.8731057999999998</v>
      </c>
      <c r="I138" s="9">
        <v>-2.3239356999999998</v>
      </c>
      <c r="J138" s="38">
        <f t="shared" si="6"/>
        <v>1.2863253999999998E-2</v>
      </c>
      <c r="K138" s="42">
        <f t="shared" si="7"/>
        <v>2.667774000000003E-3</v>
      </c>
      <c r="L138" s="40">
        <f t="shared" si="8"/>
        <v>5.1970414999999992E-2</v>
      </c>
    </row>
    <row r="139" spans="1:12" x14ac:dyDescent="0.2">
      <c r="A139" s="2">
        <v>41274</v>
      </c>
      <c r="B139" s="9">
        <v>2.7645257000000001</v>
      </c>
      <c r="C139" s="9">
        <v>1.7080500000000001</v>
      </c>
      <c r="D139" s="9">
        <v>2.0822574999999999</v>
      </c>
      <c r="E139" s="9">
        <v>1.7594904</v>
      </c>
      <c r="F139" s="9">
        <v>-0.5111553966388338</v>
      </c>
      <c r="G139" s="9">
        <v>1.3665287652515765</v>
      </c>
      <c r="H139" s="9">
        <v>2.9045087999999999</v>
      </c>
      <c r="I139" s="9">
        <v>-2.3239356999999998</v>
      </c>
      <c r="J139" s="38">
        <f t="shared" si="6"/>
        <v>1.0564757000000001E-2</v>
      </c>
      <c r="K139" s="42">
        <f t="shared" si="7"/>
        <v>3.2276709999999988E-3</v>
      </c>
      <c r="L139" s="40">
        <f t="shared" si="8"/>
        <v>5.2284444999999999E-2</v>
      </c>
    </row>
    <row r="140" spans="1:12" x14ac:dyDescent="0.2">
      <c r="A140" s="2">
        <v>41305</v>
      </c>
      <c r="B140" s="9">
        <v>2.7583117000000001</v>
      </c>
      <c r="C140" s="9">
        <v>1.8915238000000001</v>
      </c>
      <c r="D140" s="9">
        <v>1.8989556000000001</v>
      </c>
      <c r="E140" s="9">
        <v>1.6840674</v>
      </c>
      <c r="F140" s="9">
        <v>-0.5111553966388338</v>
      </c>
      <c r="G140" s="9">
        <v>1.3665287652515765</v>
      </c>
      <c r="H140" s="9">
        <v>1.9063764000000001</v>
      </c>
      <c r="I140" s="9">
        <v>-2.1845737000000001</v>
      </c>
      <c r="J140" s="38">
        <f t="shared" si="6"/>
        <v>8.6678789999999999E-3</v>
      </c>
      <c r="K140" s="42">
        <f t="shared" si="7"/>
        <v>2.1488820000000008E-3</v>
      </c>
      <c r="L140" s="40">
        <f t="shared" si="8"/>
        <v>4.0909501000000008E-2</v>
      </c>
    </row>
    <row r="141" spans="1:12" x14ac:dyDescent="0.2">
      <c r="A141" s="2">
        <v>41333</v>
      </c>
      <c r="B141" s="9">
        <v>2.8435215999999999</v>
      </c>
      <c r="C141" s="9">
        <v>1.966</v>
      </c>
      <c r="D141" s="9">
        <v>1.7684660999999999</v>
      </c>
      <c r="E141" s="9">
        <v>2.0181323999999998</v>
      </c>
      <c r="F141" s="9">
        <v>-0.5111553966388338</v>
      </c>
      <c r="G141" s="9">
        <v>1.3665287652515765</v>
      </c>
      <c r="H141" s="9">
        <v>2.3448386000000001</v>
      </c>
      <c r="I141" s="9">
        <v>-2.1845737000000001</v>
      </c>
      <c r="J141" s="38">
        <f t="shared" si="6"/>
        <v>8.7752159999999989E-3</v>
      </c>
      <c r="K141" s="42">
        <f t="shared" si="7"/>
        <v>-2.4966629999999988E-3</v>
      </c>
      <c r="L141" s="40">
        <f t="shared" si="8"/>
        <v>4.5294123000000006E-2</v>
      </c>
    </row>
    <row r="142" spans="1:12" x14ac:dyDescent="0.2">
      <c r="A142" s="2">
        <v>41364</v>
      </c>
      <c r="B142" s="9">
        <v>2.7282967999999999</v>
      </c>
      <c r="C142" s="9">
        <v>1.9480002000000001</v>
      </c>
      <c r="D142" s="9">
        <v>1.5065944</v>
      </c>
      <c r="E142" s="9">
        <v>1.5187469</v>
      </c>
      <c r="F142" s="9">
        <v>-0.59952165578306438</v>
      </c>
      <c r="G142" s="9">
        <v>1.3926292900506101</v>
      </c>
      <c r="H142" s="9">
        <v>3.6658240000000002</v>
      </c>
      <c r="I142" s="9">
        <v>-2.1845737000000001</v>
      </c>
      <c r="J142" s="38">
        <f t="shared" si="6"/>
        <v>7.802965999999998E-3</v>
      </c>
      <c r="K142" s="42">
        <f t="shared" si="7"/>
        <v>-1.2152500000000011E-4</v>
      </c>
      <c r="L142" s="40">
        <f t="shared" si="8"/>
        <v>5.8503977000000006E-2</v>
      </c>
    </row>
    <row r="143" spans="1:12" x14ac:dyDescent="0.2">
      <c r="A143" s="2">
        <v>41394</v>
      </c>
      <c r="B143" s="9">
        <v>2.5200490000000002</v>
      </c>
      <c r="C143" s="9">
        <v>1.7343636</v>
      </c>
      <c r="D143" s="9">
        <v>1.2345520000000001</v>
      </c>
      <c r="E143" s="9">
        <v>1.1388065000000001</v>
      </c>
      <c r="F143" s="9">
        <v>-0.59952165578306438</v>
      </c>
      <c r="G143" s="9">
        <v>1.3926292900506101</v>
      </c>
      <c r="H143" s="9">
        <v>2.7771846999999998</v>
      </c>
      <c r="I143" s="9">
        <v>-2.1319306</v>
      </c>
      <c r="J143" s="38">
        <f t="shared" si="6"/>
        <v>7.8568540000000017E-3</v>
      </c>
      <c r="K143" s="42">
        <f t="shared" si="7"/>
        <v>9.5745500000000039E-4</v>
      </c>
      <c r="L143" s="40">
        <f t="shared" si="8"/>
        <v>4.9091152999999998E-2</v>
      </c>
    </row>
    <row r="144" spans="1:12" x14ac:dyDescent="0.2">
      <c r="A144" s="2">
        <v>41425</v>
      </c>
      <c r="B144" s="9">
        <v>2.4421954000000001</v>
      </c>
      <c r="C144" s="9">
        <v>1.9190906999999999</v>
      </c>
      <c r="D144" s="9">
        <v>1.4723158999999999</v>
      </c>
      <c r="E144" s="9">
        <v>1.3904000000000001</v>
      </c>
      <c r="F144" s="9">
        <v>-0.59952165578306438</v>
      </c>
      <c r="G144" s="9">
        <v>1.3926292900506101</v>
      </c>
      <c r="H144" s="9">
        <v>2.5376750000000001</v>
      </c>
      <c r="I144" s="9">
        <v>-2.1319306</v>
      </c>
      <c r="J144" s="38">
        <f t="shared" si="6"/>
        <v>5.2310470000000017E-3</v>
      </c>
      <c r="K144" s="42">
        <f t="shared" si="7"/>
        <v>8.1915899999999823E-4</v>
      </c>
      <c r="L144" s="40">
        <f t="shared" si="8"/>
        <v>4.6696056000000007E-2</v>
      </c>
    </row>
    <row r="145" spans="1:12" x14ac:dyDescent="0.2">
      <c r="A145" s="2">
        <v>41455</v>
      </c>
      <c r="B145" s="9">
        <v>2.7888633999999999</v>
      </c>
      <c r="C145" s="9">
        <v>2.2944</v>
      </c>
      <c r="D145" s="9">
        <v>1.6332914999999999</v>
      </c>
      <c r="E145" s="9">
        <v>1.7158026</v>
      </c>
      <c r="F145" s="9">
        <v>0.9131160216405606</v>
      </c>
      <c r="G145" s="9">
        <v>1.3608069209377316</v>
      </c>
      <c r="H145" s="9">
        <v>3.2072115000000001</v>
      </c>
      <c r="I145" s="9">
        <v>-2.1319306</v>
      </c>
      <c r="J145" s="38">
        <f t="shared" si="6"/>
        <v>4.944633999999999E-3</v>
      </c>
      <c r="K145" s="42">
        <f t="shared" si="7"/>
        <v>-8.2511100000000055E-4</v>
      </c>
      <c r="L145" s="40">
        <f t="shared" si="8"/>
        <v>5.3391421000000001E-2</v>
      </c>
    </row>
    <row r="146" spans="1:12" x14ac:dyDescent="0.2">
      <c r="A146" s="2">
        <v>41486</v>
      </c>
      <c r="B146" s="9">
        <v>2.8249753000000002</v>
      </c>
      <c r="C146" s="9">
        <v>2.5630454999999999</v>
      </c>
      <c r="D146" s="9">
        <v>1.6319873</v>
      </c>
      <c r="E146" s="9">
        <v>1.8854711</v>
      </c>
      <c r="F146" s="9">
        <v>0.9131160216405606</v>
      </c>
      <c r="G146" s="9">
        <v>1.3608069209377316</v>
      </c>
      <c r="H146" s="9">
        <v>3.268294</v>
      </c>
      <c r="I146" s="9">
        <v>-2.0146942000000001</v>
      </c>
      <c r="J146" s="38">
        <f t="shared" si="6"/>
        <v>2.6192980000000034E-3</v>
      </c>
      <c r="K146" s="42">
        <f t="shared" si="7"/>
        <v>-2.5348379999999993E-3</v>
      </c>
      <c r="L146" s="40">
        <f t="shared" si="8"/>
        <v>5.2829882000000002E-2</v>
      </c>
    </row>
    <row r="147" spans="1:12" x14ac:dyDescent="0.2">
      <c r="A147" s="2">
        <v>41517</v>
      </c>
      <c r="B147" s="9">
        <v>2.9128718</v>
      </c>
      <c r="C147" s="9">
        <v>2.7340908000000002</v>
      </c>
      <c r="D147" s="9">
        <v>1.3409720999999999</v>
      </c>
      <c r="E147" s="9">
        <v>1.5388036</v>
      </c>
      <c r="F147" s="9">
        <v>0.9131160216405606</v>
      </c>
      <c r="G147" s="9">
        <v>1.3608069209377316</v>
      </c>
      <c r="H147" s="9">
        <v>3.4217303000000001</v>
      </c>
      <c r="I147" s="9">
        <v>-2.0146942000000001</v>
      </c>
      <c r="J147" s="38">
        <f t="shared" si="6"/>
        <v>1.7878099999999986E-3</v>
      </c>
      <c r="K147" s="42">
        <f t="shared" si="7"/>
        <v>-1.9783150000000018E-3</v>
      </c>
      <c r="L147" s="40">
        <f t="shared" si="8"/>
        <v>5.4364245000000005E-2</v>
      </c>
    </row>
    <row r="148" spans="1:12" x14ac:dyDescent="0.2">
      <c r="A148" s="2">
        <v>41547</v>
      </c>
      <c r="B148" s="9">
        <v>3.0061490000000002</v>
      </c>
      <c r="C148" s="9">
        <v>2.8043</v>
      </c>
      <c r="D148" s="9">
        <v>1.0980152999999999</v>
      </c>
      <c r="E148" s="9">
        <v>1.0947331</v>
      </c>
      <c r="F148" s="9">
        <v>1.0643372926028647</v>
      </c>
      <c r="G148" s="9">
        <v>1.4792742058515649</v>
      </c>
      <c r="H148" s="9">
        <v>3.1670308</v>
      </c>
      <c r="I148" s="9">
        <v>-2.0146942000000001</v>
      </c>
      <c r="J148" s="38">
        <f t="shared" si="6"/>
        <v>2.0184900000000017E-3</v>
      </c>
      <c r="K148" s="42">
        <f t="shared" si="7"/>
        <v>3.2821999999999016E-5</v>
      </c>
      <c r="L148" s="40">
        <f t="shared" si="8"/>
        <v>5.1817250000000002E-2</v>
      </c>
    </row>
    <row r="149" spans="1:12" x14ac:dyDescent="0.2">
      <c r="A149" s="2">
        <v>41578</v>
      </c>
      <c r="B149" s="9">
        <v>2.8415515</v>
      </c>
      <c r="C149" s="9">
        <v>2.6041305000000001</v>
      </c>
      <c r="D149" s="9">
        <v>0.76582930000000005</v>
      </c>
      <c r="E149" s="9">
        <v>0.87679850000000004</v>
      </c>
      <c r="F149" s="9">
        <v>1.0643372926028647</v>
      </c>
      <c r="G149" s="9">
        <v>1.4792742058515649</v>
      </c>
      <c r="H149" s="9">
        <v>3.4337985999999998</v>
      </c>
      <c r="I149" s="9">
        <v>-1.722683</v>
      </c>
      <c r="J149" s="38">
        <f t="shared" si="6"/>
        <v>2.374209999999999E-3</v>
      </c>
      <c r="K149" s="42">
        <f t="shared" si="7"/>
        <v>-1.1096919999999998E-3</v>
      </c>
      <c r="L149" s="40">
        <f t="shared" si="8"/>
        <v>5.1564815999999992E-2</v>
      </c>
    </row>
    <row r="150" spans="1:12" x14ac:dyDescent="0.2">
      <c r="A150" s="2">
        <v>41608</v>
      </c>
      <c r="B150" s="9">
        <v>2.7303497999999999</v>
      </c>
      <c r="C150" s="9">
        <v>2.7088047999999998</v>
      </c>
      <c r="D150" s="9">
        <v>0.92358090000000004</v>
      </c>
      <c r="E150" s="9">
        <v>1.2328749000000001</v>
      </c>
      <c r="F150" s="9">
        <v>1.0643372926028647</v>
      </c>
      <c r="G150" s="9">
        <v>1.4792742058515649</v>
      </c>
      <c r="H150" s="9">
        <v>3.7334825999999999</v>
      </c>
      <c r="I150" s="9">
        <v>-1.722683</v>
      </c>
      <c r="J150" s="38">
        <f t="shared" si="6"/>
        <v>2.1545000000000147E-4</v>
      </c>
      <c r="K150" s="42">
        <f t="shared" si="7"/>
        <v>-3.0929400000000006E-3</v>
      </c>
      <c r="L150" s="40">
        <f t="shared" si="8"/>
        <v>5.4561656E-2</v>
      </c>
    </row>
    <row r="151" spans="1:12" x14ac:dyDescent="0.2">
      <c r="A151" s="2">
        <v>41639</v>
      </c>
      <c r="B151" s="9">
        <v>2.7972983999999999</v>
      </c>
      <c r="C151" s="9">
        <v>2.8924808999999998</v>
      </c>
      <c r="D151" s="9">
        <v>0.98430910000000005</v>
      </c>
      <c r="E151" s="9">
        <v>1.5128455000000001</v>
      </c>
      <c r="F151" s="9">
        <v>1.2254607956861565</v>
      </c>
      <c r="G151" s="9">
        <v>1.5886102725605529</v>
      </c>
      <c r="H151" s="9">
        <v>3.4446454000000002</v>
      </c>
      <c r="I151" s="9">
        <v>-1.722683</v>
      </c>
      <c r="J151" s="38">
        <f t="shared" si="6"/>
        <v>-9.5182499999999946E-4</v>
      </c>
      <c r="K151" s="42">
        <f t="shared" si="7"/>
        <v>-5.2853639999999999E-3</v>
      </c>
      <c r="L151" s="40">
        <f t="shared" si="8"/>
        <v>5.1673284000000007E-2</v>
      </c>
    </row>
    <row r="152" spans="1:12" x14ac:dyDescent="0.2">
      <c r="A152" s="2">
        <v>41670</v>
      </c>
      <c r="B152" s="9">
        <v>2.6789423999999999</v>
      </c>
      <c r="C152" s="9">
        <v>2.8500573999999999</v>
      </c>
      <c r="D152" s="9">
        <v>0.95118100000000005</v>
      </c>
      <c r="E152" s="9">
        <v>1.5577605000000001</v>
      </c>
      <c r="F152" s="9">
        <v>1.2254607956861565</v>
      </c>
      <c r="G152" s="9">
        <v>1.5886102725605529</v>
      </c>
      <c r="H152" s="9">
        <v>2.3998632</v>
      </c>
      <c r="I152" s="9">
        <v>-2.114557</v>
      </c>
      <c r="J152" s="38">
        <f t="shared" si="6"/>
        <v>-1.711149999999999E-3</v>
      </c>
      <c r="K152" s="42">
        <f t="shared" si="7"/>
        <v>-6.0657950000000006E-3</v>
      </c>
      <c r="L152" s="40">
        <f t="shared" si="8"/>
        <v>4.5144202000000001E-2</v>
      </c>
    </row>
    <row r="153" spans="1:12" x14ac:dyDescent="0.2">
      <c r="A153" s="2">
        <v>41698</v>
      </c>
      <c r="B153" s="9">
        <v>2.4998635999999999</v>
      </c>
      <c r="C153" s="9">
        <v>2.7001846</v>
      </c>
      <c r="D153" s="9">
        <v>0.82151014</v>
      </c>
      <c r="E153" s="9">
        <v>1.1204795000000001</v>
      </c>
      <c r="F153" s="9">
        <v>1.2254607956861565</v>
      </c>
      <c r="G153" s="9">
        <v>1.5886102725605529</v>
      </c>
      <c r="H153" s="9">
        <v>2.2826219999999999</v>
      </c>
      <c r="I153" s="9">
        <v>-2.114557</v>
      </c>
      <c r="J153" s="38">
        <f t="shared" si="6"/>
        <v>-2.0032100000000018E-3</v>
      </c>
      <c r="K153" s="42">
        <f t="shared" si="7"/>
        <v>-2.9896936000000009E-3</v>
      </c>
      <c r="L153" s="40">
        <f t="shared" si="8"/>
        <v>4.3971789999999997E-2</v>
      </c>
    </row>
    <row r="154" spans="1:12" x14ac:dyDescent="0.2">
      <c r="A154" s="2">
        <v>41729</v>
      </c>
      <c r="B154" s="9">
        <v>2.3668787</v>
      </c>
      <c r="C154" s="9">
        <v>2.7179432000000001</v>
      </c>
      <c r="D154" s="9">
        <v>0.71113230000000005</v>
      </c>
      <c r="E154" s="9">
        <v>1.6126895000000001</v>
      </c>
      <c r="F154" s="9">
        <v>1.3843035331949343</v>
      </c>
      <c r="G154" s="9">
        <v>1.3839694401963936</v>
      </c>
      <c r="H154" s="9">
        <v>2.9194110000000002</v>
      </c>
      <c r="I154" s="9">
        <v>-2.114557</v>
      </c>
      <c r="J154" s="38">
        <f t="shared" si="6"/>
        <v>-3.510645000000001E-3</v>
      </c>
      <c r="K154" s="42">
        <f t="shared" si="7"/>
        <v>-9.0155720000000012E-3</v>
      </c>
      <c r="L154" s="40">
        <f t="shared" si="8"/>
        <v>5.0339679999999998E-2</v>
      </c>
    </row>
    <row r="155" spans="1:12" x14ac:dyDescent="0.2">
      <c r="A155" s="2">
        <v>41759</v>
      </c>
      <c r="B155" s="9">
        <v>2.2599230000000001</v>
      </c>
      <c r="C155" s="9">
        <v>2.6887523999999998</v>
      </c>
      <c r="D155" s="9">
        <v>0.84394133000000005</v>
      </c>
      <c r="E155" s="9">
        <v>2.0151248000000002</v>
      </c>
      <c r="F155" s="9">
        <v>1.3843035331949343</v>
      </c>
      <c r="G155" s="9">
        <v>1.3839694401963936</v>
      </c>
      <c r="H155" s="9">
        <v>2.8088017000000001</v>
      </c>
      <c r="I155" s="9">
        <v>-1.9903293</v>
      </c>
      <c r="J155" s="38">
        <f t="shared" si="6"/>
        <v>-4.2882939999999972E-3</v>
      </c>
      <c r="K155" s="42">
        <f t="shared" si="7"/>
        <v>-1.1711834700000001E-2</v>
      </c>
      <c r="L155" s="40">
        <f t="shared" si="8"/>
        <v>4.7991310000000002E-2</v>
      </c>
    </row>
    <row r="156" spans="1:12" x14ac:dyDescent="0.2">
      <c r="A156" s="2">
        <v>41790</v>
      </c>
      <c r="B156" s="9">
        <v>2.1161454000000002</v>
      </c>
      <c r="C156" s="9">
        <v>2.5574715000000001</v>
      </c>
      <c r="D156" s="9">
        <v>0.62825880000000001</v>
      </c>
      <c r="E156" s="9">
        <v>2.1669399999999999</v>
      </c>
      <c r="F156" s="9">
        <v>1.3843035331949343</v>
      </c>
      <c r="G156" s="9">
        <v>1.3839694401963936</v>
      </c>
      <c r="H156" s="9">
        <v>2.9657342</v>
      </c>
      <c r="I156" s="9">
        <v>-1.9903293</v>
      </c>
      <c r="J156" s="38">
        <f t="shared" si="6"/>
        <v>-4.4132609999999991E-3</v>
      </c>
      <c r="K156" s="42">
        <f t="shared" si="7"/>
        <v>-1.5386811999999998E-2</v>
      </c>
      <c r="L156" s="40">
        <f t="shared" si="8"/>
        <v>4.9560634999999999E-2</v>
      </c>
    </row>
    <row r="157" spans="1:12" x14ac:dyDescent="0.2">
      <c r="A157" s="2">
        <v>41820</v>
      </c>
      <c r="B157" s="9">
        <v>1.9756136</v>
      </c>
      <c r="C157" s="9">
        <v>2.5924665999999998</v>
      </c>
      <c r="D157" s="9">
        <v>0.50800632999999995</v>
      </c>
      <c r="E157" s="9">
        <v>2.0589788000000002</v>
      </c>
      <c r="F157" s="9">
        <v>1.3078543630147366</v>
      </c>
      <c r="G157" s="9">
        <v>1.5451656940813649</v>
      </c>
      <c r="H157" s="9">
        <v>3.4201155000000001</v>
      </c>
      <c r="I157" s="9">
        <v>-1.9903293</v>
      </c>
      <c r="J157" s="38">
        <f t="shared" si="6"/>
        <v>-6.1685299999999985E-3</v>
      </c>
      <c r="K157" s="42">
        <f t="shared" si="7"/>
        <v>-1.5509724700000003E-2</v>
      </c>
      <c r="L157" s="40">
        <f t="shared" si="8"/>
        <v>5.4104448000000006E-2</v>
      </c>
    </row>
    <row r="158" spans="1:12" x14ac:dyDescent="0.2">
      <c r="A158" s="2">
        <v>41851</v>
      </c>
      <c r="B158" s="9">
        <v>1.8410571</v>
      </c>
      <c r="C158" s="9">
        <v>2.5254774000000002</v>
      </c>
      <c r="D158" s="9">
        <v>0.43385871999999998</v>
      </c>
      <c r="E158" s="9">
        <v>1.9742379000000001</v>
      </c>
      <c r="F158" s="9">
        <v>1.3078543630147366</v>
      </c>
      <c r="G158" s="9">
        <v>1.5451656940813649</v>
      </c>
      <c r="H158" s="9">
        <v>3.3089710000000001</v>
      </c>
      <c r="I158" s="9">
        <v>-2.0037712999999999</v>
      </c>
      <c r="J158" s="38">
        <f t="shared" si="6"/>
        <v>-6.8442030000000018E-3</v>
      </c>
      <c r="K158" s="42">
        <f t="shared" si="7"/>
        <v>-1.5403791800000002E-2</v>
      </c>
      <c r="L158" s="40">
        <f t="shared" si="8"/>
        <v>5.3127423E-2</v>
      </c>
    </row>
    <row r="159" spans="1:12" x14ac:dyDescent="0.2">
      <c r="A159" s="2">
        <v>41882</v>
      </c>
      <c r="B159" s="9">
        <v>1.6588377000000001</v>
      </c>
      <c r="C159" s="9">
        <v>2.4142663</v>
      </c>
      <c r="D159" s="9">
        <v>0.44403756</v>
      </c>
      <c r="E159" s="9">
        <v>1.7151050000000001</v>
      </c>
      <c r="F159" s="9">
        <v>1.3078543630147366</v>
      </c>
      <c r="G159" s="9">
        <v>1.5451656940813649</v>
      </c>
      <c r="H159" s="9">
        <v>3.3668244000000001</v>
      </c>
      <c r="I159" s="9">
        <v>-2.0037712999999999</v>
      </c>
      <c r="J159" s="38">
        <f t="shared" si="6"/>
        <v>-7.5542859999999986E-3</v>
      </c>
      <c r="K159" s="42">
        <f t="shared" si="7"/>
        <v>-1.2710674400000002E-2</v>
      </c>
      <c r="L159" s="40">
        <f t="shared" si="8"/>
        <v>5.3705956999999999E-2</v>
      </c>
    </row>
    <row r="160" spans="1:12" x14ac:dyDescent="0.2">
      <c r="A160" s="2">
        <v>41912</v>
      </c>
      <c r="B160" s="9">
        <v>1.5462625000000001</v>
      </c>
      <c r="C160" s="9">
        <v>2.5239381999999999</v>
      </c>
      <c r="D160" s="9">
        <v>0.39103759999999999</v>
      </c>
      <c r="E160" s="9">
        <v>1.6840501000000001</v>
      </c>
      <c r="F160" s="9">
        <v>1.3438402499326625</v>
      </c>
      <c r="G160" s="9">
        <v>1.5952711547205054</v>
      </c>
      <c r="H160" s="9">
        <v>4.0135120000000004</v>
      </c>
      <c r="I160" s="9">
        <v>-2.0037712999999999</v>
      </c>
      <c r="J160" s="38">
        <f t="shared" si="6"/>
        <v>-9.7767569999999988E-3</v>
      </c>
      <c r="K160" s="42">
        <f t="shared" si="7"/>
        <v>-1.2930125000000001E-2</v>
      </c>
      <c r="L160" s="40">
        <f t="shared" si="8"/>
        <v>6.0172833000000009E-2</v>
      </c>
    </row>
    <row r="161" spans="1:12" x14ac:dyDescent="0.2">
      <c r="A161" s="2">
        <v>41943</v>
      </c>
      <c r="B161" s="9">
        <v>1.4616325999999999</v>
      </c>
      <c r="C161" s="9">
        <v>2.2870650000000001</v>
      </c>
      <c r="D161" s="9">
        <v>0.51241433999999997</v>
      </c>
      <c r="E161" s="9">
        <v>1.6095374</v>
      </c>
      <c r="F161" s="9">
        <v>1.3438402499326625</v>
      </c>
      <c r="G161" s="9">
        <v>1.5952711547205054</v>
      </c>
      <c r="H161" s="9">
        <v>4.4977074000000004</v>
      </c>
      <c r="I161" s="9">
        <v>-2.2953005000000002</v>
      </c>
      <c r="J161" s="38">
        <f t="shared" si="6"/>
        <v>-8.2543240000000021E-3</v>
      </c>
      <c r="K161" s="42">
        <f t="shared" si="7"/>
        <v>-1.09712306E-2</v>
      </c>
      <c r="L161" s="40">
        <f t="shared" si="8"/>
        <v>6.7930079000000004E-2</v>
      </c>
    </row>
    <row r="162" spans="1:12" x14ac:dyDescent="0.2">
      <c r="A162" s="2">
        <v>41973</v>
      </c>
      <c r="B162" s="9">
        <v>1.3724092000000001</v>
      </c>
      <c r="C162" s="9">
        <v>2.3208315000000002</v>
      </c>
      <c r="D162" s="9">
        <v>0.36481774</v>
      </c>
      <c r="E162" s="9">
        <v>1.2315297000000001</v>
      </c>
      <c r="F162" s="9">
        <v>1.3438402499326625</v>
      </c>
      <c r="G162" s="9">
        <v>1.5952711547205054</v>
      </c>
      <c r="H162" s="9">
        <v>3.5013386999999998</v>
      </c>
      <c r="I162" s="9">
        <v>-2.2953005000000002</v>
      </c>
      <c r="J162" s="38">
        <f t="shared" si="6"/>
        <v>-9.484223E-3</v>
      </c>
      <c r="K162" s="42">
        <f t="shared" si="7"/>
        <v>-8.6671196000000002E-3</v>
      </c>
      <c r="L162" s="40">
        <f t="shared" si="8"/>
        <v>5.7966391999999999E-2</v>
      </c>
    </row>
    <row r="163" spans="1:12" x14ac:dyDescent="0.2">
      <c r="A163" s="2">
        <v>42004</v>
      </c>
      <c r="B163" s="9">
        <v>1.1539134</v>
      </c>
      <c r="C163" s="9">
        <v>2.2032316000000001</v>
      </c>
      <c r="D163" s="9">
        <v>-1.8659616E-2</v>
      </c>
      <c r="E163" s="9">
        <v>0.65312119999999996</v>
      </c>
      <c r="F163" s="9">
        <v>1.3756533754289082</v>
      </c>
      <c r="G163" s="9">
        <v>1.5447045374331323</v>
      </c>
      <c r="H163" s="9">
        <v>4.1713950000000004</v>
      </c>
      <c r="I163" s="9">
        <v>-2.2953005000000002</v>
      </c>
      <c r="J163" s="38">
        <f t="shared" si="6"/>
        <v>-1.0493182E-2</v>
      </c>
      <c r="K163" s="42">
        <f t="shared" si="7"/>
        <v>-6.7178081599999998E-3</v>
      </c>
      <c r="L163" s="40">
        <f t="shared" si="8"/>
        <v>6.4666954999999998E-2</v>
      </c>
    </row>
    <row r="164" spans="1:12" x14ac:dyDescent="0.2">
      <c r="A164" s="2">
        <v>42035</v>
      </c>
      <c r="B164" s="9">
        <v>0.90718894999999999</v>
      </c>
      <c r="C164" s="9">
        <v>1.8678751</v>
      </c>
      <c r="D164" s="9">
        <v>-0.33737007000000002</v>
      </c>
      <c r="E164" s="9">
        <v>-0.22993468</v>
      </c>
      <c r="F164" s="9">
        <v>1.3756533754289082</v>
      </c>
      <c r="G164" s="9">
        <v>1.5447045374331323</v>
      </c>
      <c r="H164" s="9">
        <v>4.0419884000000001</v>
      </c>
      <c r="I164" s="9">
        <v>-2.2010092999999999</v>
      </c>
      <c r="J164" s="38">
        <f t="shared" si="6"/>
        <v>-9.606861500000001E-3</v>
      </c>
      <c r="K164" s="42">
        <f t="shared" si="7"/>
        <v>-1.0743539000000002E-3</v>
      </c>
      <c r="L164" s="40">
        <f t="shared" si="8"/>
        <v>6.2429976999999998E-2</v>
      </c>
    </row>
    <row r="165" spans="1:12" x14ac:dyDescent="0.2">
      <c r="A165" s="2">
        <v>42063</v>
      </c>
      <c r="B165" s="9">
        <v>0.80179809999999996</v>
      </c>
      <c r="C165" s="9">
        <v>1.9697051999999999</v>
      </c>
      <c r="D165" s="9">
        <v>-6.1141319999999999E-2</v>
      </c>
      <c r="E165" s="9">
        <v>-8.7034329999999993E-2</v>
      </c>
      <c r="F165" s="9">
        <v>1.3756533754289082</v>
      </c>
      <c r="G165" s="9">
        <v>1.5447045374331323</v>
      </c>
      <c r="H165" s="9">
        <v>3.6462018</v>
      </c>
      <c r="I165" s="9">
        <v>-2.2010092999999999</v>
      </c>
      <c r="J165" s="38">
        <f t="shared" si="6"/>
        <v>-1.1679070999999999E-2</v>
      </c>
      <c r="K165" s="42">
        <f t="shared" si="7"/>
        <v>2.5893009999999991E-4</v>
      </c>
      <c r="L165" s="40">
        <f t="shared" si="8"/>
        <v>5.8472111E-2</v>
      </c>
    </row>
    <row r="166" spans="1:12" x14ac:dyDescent="0.2">
      <c r="A166" s="2">
        <v>42094</v>
      </c>
      <c r="B166" s="9">
        <v>0.64839020000000003</v>
      </c>
      <c r="C166" s="9">
        <v>2.0381586999999999</v>
      </c>
      <c r="D166" s="9">
        <v>0.16953035999999999</v>
      </c>
      <c r="E166" s="9">
        <v>-2.2034567000000001E-2</v>
      </c>
      <c r="F166" s="9">
        <v>1.4306986170239748</v>
      </c>
      <c r="G166" s="9">
        <v>1.7064673716631085</v>
      </c>
      <c r="H166" s="9">
        <v>3.7461855000000002</v>
      </c>
      <c r="I166" s="9">
        <v>-2.2010092999999999</v>
      </c>
      <c r="J166" s="38">
        <f t="shared" si="6"/>
        <v>-1.3897684999999998E-2</v>
      </c>
      <c r="K166" s="42">
        <f t="shared" si="7"/>
        <v>1.91564927E-3</v>
      </c>
      <c r="L166" s="40">
        <f t="shared" si="8"/>
        <v>5.9471948000000004E-2</v>
      </c>
    </row>
    <row r="167" spans="1:12" x14ac:dyDescent="0.2">
      <c r="A167" s="2">
        <v>42124</v>
      </c>
      <c r="B167" s="9">
        <v>0.61548599999999998</v>
      </c>
      <c r="C167" s="9">
        <v>1.9218948</v>
      </c>
      <c r="D167" s="9">
        <v>0.17541388999999999</v>
      </c>
      <c r="E167" s="9">
        <v>-0.10402686999999999</v>
      </c>
      <c r="F167" s="9">
        <v>1.4306986170239748</v>
      </c>
      <c r="G167" s="9">
        <v>1.7064673716631085</v>
      </c>
      <c r="H167" s="9">
        <v>2.2341888000000001</v>
      </c>
      <c r="I167" s="9">
        <v>-2.1767216</v>
      </c>
      <c r="J167" s="38">
        <f t="shared" si="6"/>
        <v>-1.3064088E-2</v>
      </c>
      <c r="K167" s="42">
        <f t="shared" si="7"/>
        <v>2.7944075999999994E-3</v>
      </c>
      <c r="L167" s="40">
        <f t="shared" si="8"/>
        <v>4.4109104000000003E-2</v>
      </c>
    </row>
    <row r="168" spans="1:12" x14ac:dyDescent="0.2">
      <c r="A168" s="2">
        <v>42155</v>
      </c>
      <c r="B168" s="9">
        <v>1.0558947000000001</v>
      </c>
      <c r="C168" s="9">
        <v>2.1826050000000001</v>
      </c>
      <c r="D168" s="9">
        <v>0.45778063000000002</v>
      </c>
      <c r="E168" s="9">
        <v>3.5037345999999997E-2</v>
      </c>
      <c r="F168" s="9">
        <v>1.4306986170239748</v>
      </c>
      <c r="G168" s="9">
        <v>1.7064673716631085</v>
      </c>
      <c r="H168" s="9">
        <v>2.9320460000000002</v>
      </c>
      <c r="I168" s="9">
        <v>-2.1767216</v>
      </c>
      <c r="J168" s="38">
        <f t="shared" si="6"/>
        <v>-1.1267103000000001E-2</v>
      </c>
      <c r="K168" s="42">
        <f t="shared" si="7"/>
        <v>4.2274328400000007E-3</v>
      </c>
      <c r="L168" s="40">
        <f t="shared" si="8"/>
        <v>5.1087675999999999E-2</v>
      </c>
    </row>
    <row r="169" spans="1:12" x14ac:dyDescent="0.2">
      <c r="A169" s="2">
        <v>42185</v>
      </c>
      <c r="B169" s="9">
        <v>1.3974966</v>
      </c>
      <c r="C169" s="9">
        <v>2.3600816999999998</v>
      </c>
      <c r="D169" s="9">
        <v>0.46132556000000002</v>
      </c>
      <c r="E169" s="9">
        <v>0.17955869999999999</v>
      </c>
      <c r="F169" s="9">
        <v>1.4575121827970943</v>
      </c>
      <c r="G169" s="9">
        <v>1.6234937679949295</v>
      </c>
      <c r="H169" s="9">
        <v>3.3043977999999998</v>
      </c>
      <c r="I169" s="9">
        <v>-2.1767216</v>
      </c>
      <c r="J169" s="38">
        <f t="shared" si="6"/>
        <v>-9.6258509999999978E-3</v>
      </c>
      <c r="K169" s="42">
        <f t="shared" si="7"/>
        <v>2.8176686000000008E-3</v>
      </c>
      <c r="L169" s="40">
        <f t="shared" si="8"/>
        <v>5.4811194000000001E-2</v>
      </c>
    </row>
    <row r="170" spans="1:12" x14ac:dyDescent="0.2">
      <c r="A170" s="2">
        <v>42216</v>
      </c>
      <c r="B170" s="9">
        <v>1.2942575999999999</v>
      </c>
      <c r="C170" s="9">
        <v>2.3153315000000001</v>
      </c>
      <c r="D170" s="9">
        <v>0.34146237000000002</v>
      </c>
      <c r="E170" s="9">
        <v>0.22568740000000001</v>
      </c>
      <c r="F170" s="9">
        <v>1.4575121827970943</v>
      </c>
      <c r="G170" s="9">
        <v>1.6234937679949295</v>
      </c>
      <c r="H170" s="9">
        <v>4.788106</v>
      </c>
      <c r="I170" s="9">
        <v>-2.3895059999999999</v>
      </c>
      <c r="J170" s="38">
        <f t="shared" si="6"/>
        <v>-1.0210739000000002E-2</v>
      </c>
      <c r="K170" s="42">
        <f t="shared" si="7"/>
        <v>1.1577497E-3</v>
      </c>
      <c r="L170" s="40">
        <f t="shared" si="8"/>
        <v>7.1776119999999999E-2</v>
      </c>
    </row>
    <row r="171" spans="1:12" x14ac:dyDescent="0.2">
      <c r="A171" s="2">
        <v>42247</v>
      </c>
      <c r="B171" s="9">
        <v>1.1532161000000001</v>
      </c>
      <c r="C171" s="9">
        <v>2.1604526000000002</v>
      </c>
      <c r="D171" s="9">
        <v>0.20514553999999999</v>
      </c>
      <c r="E171" s="9">
        <v>0.24130751</v>
      </c>
      <c r="F171" s="9">
        <v>1.4575121827970943</v>
      </c>
      <c r="G171" s="9">
        <v>1.6234937679949295</v>
      </c>
      <c r="H171" s="9">
        <v>3.3970354</v>
      </c>
      <c r="I171" s="9">
        <v>-2.3895059999999999</v>
      </c>
      <c r="J171" s="38">
        <f t="shared" si="6"/>
        <v>-1.0072365000000002E-2</v>
      </c>
      <c r="K171" s="42">
        <f t="shared" si="7"/>
        <v>-3.6161970000000017E-4</v>
      </c>
      <c r="L171" s="40">
        <f t="shared" si="8"/>
        <v>5.7865413999999997E-2</v>
      </c>
    </row>
    <row r="172" spans="1:12" x14ac:dyDescent="0.2">
      <c r="A172" s="2">
        <v>42277</v>
      </c>
      <c r="B172" s="9">
        <v>1.1870584</v>
      </c>
      <c r="C172" s="9">
        <v>2.1704335000000001</v>
      </c>
      <c r="D172" s="9">
        <v>8.9167066000000003E-2</v>
      </c>
      <c r="E172" s="9">
        <v>8.8390910000000003E-3</v>
      </c>
      <c r="F172" s="9">
        <v>1.4493478954390395</v>
      </c>
      <c r="G172" s="9">
        <v>1.5106366334405343</v>
      </c>
      <c r="H172" s="9">
        <v>3.9391143</v>
      </c>
      <c r="I172" s="9">
        <v>-2.3895059999999999</v>
      </c>
      <c r="J172" s="38">
        <f t="shared" si="6"/>
        <v>-9.8337510000000017E-3</v>
      </c>
      <c r="K172" s="42">
        <f t="shared" si="7"/>
        <v>8.0327974999999999E-4</v>
      </c>
      <c r="L172" s="40">
        <f t="shared" si="8"/>
        <v>6.3286202999999999E-2</v>
      </c>
    </row>
    <row r="173" spans="1:12" x14ac:dyDescent="0.2">
      <c r="A173" s="2">
        <v>42308</v>
      </c>
      <c r="B173" s="9">
        <v>1.022718</v>
      </c>
      <c r="C173" s="9">
        <v>2.0574271999999998</v>
      </c>
      <c r="D173" s="9">
        <v>0.21528348</v>
      </c>
      <c r="E173" s="9">
        <v>0.12763063999999999</v>
      </c>
      <c r="F173" s="9">
        <v>1.4493478954390395</v>
      </c>
      <c r="G173" s="9">
        <v>1.5106366334405343</v>
      </c>
      <c r="H173" s="9">
        <v>3.4862272999999999</v>
      </c>
      <c r="I173" s="9">
        <v>-2.1623272999999998</v>
      </c>
      <c r="J173" s="38">
        <f t="shared" si="6"/>
        <v>-1.0347091999999997E-2</v>
      </c>
      <c r="K173" s="42">
        <f t="shared" si="7"/>
        <v>8.7652840000000014E-4</v>
      </c>
      <c r="L173" s="40">
        <f t="shared" si="8"/>
        <v>5.6485545999999998E-2</v>
      </c>
    </row>
    <row r="174" spans="1:12" x14ac:dyDescent="0.2">
      <c r="A174" s="2">
        <v>42338</v>
      </c>
      <c r="B174" s="9">
        <v>1.0146508000000001</v>
      </c>
      <c r="C174" s="9">
        <v>2.2596402000000002</v>
      </c>
      <c r="D174" s="9">
        <v>0.35928290000000002</v>
      </c>
      <c r="E174" s="9">
        <v>0.43631284999999997</v>
      </c>
      <c r="F174" s="9">
        <v>1.4493478954390395</v>
      </c>
      <c r="G174" s="9">
        <v>1.5106366334405343</v>
      </c>
      <c r="H174" s="9">
        <v>3.1610200000000002</v>
      </c>
      <c r="I174" s="9">
        <v>-2.1623272999999998</v>
      </c>
      <c r="J174" s="38">
        <f t="shared" si="6"/>
        <v>-1.2449894000000001E-2</v>
      </c>
      <c r="K174" s="42">
        <f t="shared" si="7"/>
        <v>-7.7029949999999963E-4</v>
      </c>
      <c r="L174" s="40">
        <f t="shared" si="8"/>
        <v>5.3233473000000003E-2</v>
      </c>
    </row>
    <row r="175" spans="1:12" x14ac:dyDescent="0.2">
      <c r="A175" s="2">
        <v>42369</v>
      </c>
      <c r="B175" s="9">
        <v>1.0398824</v>
      </c>
      <c r="C175" s="9">
        <v>2.2350224999999999</v>
      </c>
      <c r="D175" s="9">
        <v>0.48142027999999998</v>
      </c>
      <c r="E175" s="9">
        <v>0.63872445</v>
      </c>
      <c r="F175" s="9">
        <v>1.4686084444834178</v>
      </c>
      <c r="G175" s="9">
        <v>1.4612050943554704</v>
      </c>
      <c r="H175" s="9">
        <v>2.7709484</v>
      </c>
      <c r="I175" s="9">
        <v>-2.1623272999999998</v>
      </c>
      <c r="J175" s="38">
        <f t="shared" si="6"/>
        <v>-1.1951400999999999E-2</v>
      </c>
      <c r="K175" s="42">
        <f t="shared" si="7"/>
        <v>-1.5730417000000003E-3</v>
      </c>
      <c r="L175" s="40">
        <f t="shared" si="8"/>
        <v>4.9332756999999991E-2</v>
      </c>
    </row>
    <row r="176" spans="1:12" x14ac:dyDescent="0.2">
      <c r="A176" s="2">
        <v>42400</v>
      </c>
      <c r="B176" s="9">
        <v>0.97014900000000004</v>
      </c>
      <c r="C176" s="9">
        <v>2.0801894999999999</v>
      </c>
      <c r="D176" s="9">
        <v>0.36878660000000002</v>
      </c>
      <c r="E176" s="9">
        <v>1.2374961</v>
      </c>
      <c r="F176" s="9">
        <v>1.4686084444834178</v>
      </c>
      <c r="G176" s="9">
        <v>1.4612050943554704</v>
      </c>
      <c r="H176" s="9">
        <v>3.898638</v>
      </c>
      <c r="I176" s="9">
        <v>-2.2458247999999998</v>
      </c>
      <c r="J176" s="38">
        <f t="shared" si="6"/>
        <v>-1.1100404999999997E-2</v>
      </c>
      <c r="K176" s="42">
        <f t="shared" si="7"/>
        <v>-8.6870950000000006E-3</v>
      </c>
      <c r="L176" s="40">
        <f t="shared" si="8"/>
        <v>6.1444627999999994E-2</v>
      </c>
    </row>
    <row r="177" spans="1:12" x14ac:dyDescent="0.2">
      <c r="A177" s="2">
        <v>42429</v>
      </c>
      <c r="B177" s="9">
        <v>0.80520402999999996</v>
      </c>
      <c r="C177" s="9">
        <v>1.7715301999999999</v>
      </c>
      <c r="D177" s="9">
        <v>2.7859691999999998E-2</v>
      </c>
      <c r="E177" s="9">
        <v>0.84728086000000002</v>
      </c>
      <c r="F177" s="9">
        <v>1.4686084444834178</v>
      </c>
      <c r="G177" s="9">
        <v>1.4612050943554704</v>
      </c>
      <c r="H177" s="9">
        <v>3.8304741</v>
      </c>
      <c r="I177" s="9">
        <v>-2.2458247999999998</v>
      </c>
      <c r="J177" s="38">
        <f t="shared" si="6"/>
        <v>-9.6632617000000001E-3</v>
      </c>
      <c r="K177" s="42">
        <f t="shared" si="7"/>
        <v>-8.1942116800000006E-3</v>
      </c>
      <c r="L177" s="40">
        <f t="shared" si="8"/>
        <v>6.0762988999999996E-2</v>
      </c>
    </row>
    <row r="178" spans="1:12" x14ac:dyDescent="0.2">
      <c r="A178" s="2">
        <v>42460</v>
      </c>
      <c r="B178" s="9">
        <v>0.71842194000000004</v>
      </c>
      <c r="C178" s="9">
        <v>1.8842863999999999</v>
      </c>
      <c r="D178" s="9">
        <v>7.2903660000000004E-3</v>
      </c>
      <c r="E178" s="9">
        <v>0.89162755000000005</v>
      </c>
      <c r="F178" s="9">
        <v>1.413767534257599</v>
      </c>
      <c r="G178" s="9">
        <v>1.4086235750514977</v>
      </c>
      <c r="H178" s="9">
        <v>4.4093900000000001</v>
      </c>
      <c r="I178" s="9">
        <v>-2.2458247999999998</v>
      </c>
      <c r="J178" s="38">
        <f t="shared" si="6"/>
        <v>-1.1658644599999999E-2</v>
      </c>
      <c r="K178" s="42">
        <f t="shared" si="7"/>
        <v>-8.843371840000001E-3</v>
      </c>
      <c r="L178" s="40">
        <f t="shared" si="8"/>
        <v>6.6552147999999992E-2</v>
      </c>
    </row>
    <row r="179" spans="1:12" x14ac:dyDescent="0.2">
      <c r="A179" s="2">
        <v>42490</v>
      </c>
      <c r="B179" s="9">
        <v>0.71373180000000003</v>
      </c>
      <c r="C179" s="9">
        <v>1.7981809</v>
      </c>
      <c r="D179" s="9">
        <v>-4.9911533000000001E-2</v>
      </c>
      <c r="E179" s="9">
        <v>1.1726308999999999</v>
      </c>
      <c r="F179" s="9">
        <v>1.413767534257599</v>
      </c>
      <c r="G179" s="9">
        <v>1.4086235750514977</v>
      </c>
      <c r="H179" s="9">
        <v>4.2564216000000004</v>
      </c>
      <c r="I179" s="9">
        <v>-2.1479824000000001</v>
      </c>
      <c r="J179" s="38">
        <f t="shared" si="6"/>
        <v>-1.0844491000000001E-2</v>
      </c>
      <c r="K179" s="42">
        <f t="shared" si="7"/>
        <v>-1.2225424329999998E-2</v>
      </c>
      <c r="L179" s="40">
        <f t="shared" si="8"/>
        <v>6.404404000000001E-2</v>
      </c>
    </row>
    <row r="180" spans="1:12" x14ac:dyDescent="0.2">
      <c r="A180" s="2">
        <v>42521</v>
      </c>
      <c r="B180" s="9">
        <v>0.72326710000000005</v>
      </c>
      <c r="C180" s="9">
        <v>1.8031428</v>
      </c>
      <c r="D180" s="9">
        <v>-5.4010550000000001E-3</v>
      </c>
      <c r="E180" s="9">
        <v>1.0784731000000001</v>
      </c>
      <c r="F180" s="9">
        <v>1.413767534257599</v>
      </c>
      <c r="G180" s="9">
        <v>1.4086235750514977</v>
      </c>
      <c r="H180" s="9">
        <v>4.2091865999999998</v>
      </c>
      <c r="I180" s="9">
        <v>-2.1479824000000001</v>
      </c>
      <c r="J180" s="38">
        <f t="shared" si="6"/>
        <v>-1.0798757000000001E-2</v>
      </c>
      <c r="K180" s="42">
        <f t="shared" si="7"/>
        <v>-1.0838741550000001E-2</v>
      </c>
      <c r="L180" s="40">
        <f t="shared" si="8"/>
        <v>6.357169E-2</v>
      </c>
    </row>
    <row r="181" spans="1:12" x14ac:dyDescent="0.2">
      <c r="A181" s="2">
        <v>42551</v>
      </c>
      <c r="B181" s="9">
        <v>0.60414743000000004</v>
      </c>
      <c r="C181" s="9">
        <v>1.6408225000000001</v>
      </c>
      <c r="D181" s="9">
        <v>0.12548082999999999</v>
      </c>
      <c r="E181" s="9">
        <v>1.0792888</v>
      </c>
      <c r="F181" s="9">
        <v>1.3744987351893347</v>
      </c>
      <c r="G181" s="9">
        <v>1.3559868538853084</v>
      </c>
      <c r="H181" s="9">
        <v>3.7184746</v>
      </c>
      <c r="I181" s="9">
        <v>-2.1479824000000001</v>
      </c>
      <c r="J181" s="38">
        <f t="shared" si="6"/>
        <v>-1.03667507E-2</v>
      </c>
      <c r="K181" s="42">
        <f t="shared" si="7"/>
        <v>-9.5380797000000003E-3</v>
      </c>
      <c r="L181" s="40">
        <f t="shared" si="8"/>
        <v>5.8664570000000006E-2</v>
      </c>
    </row>
    <row r="182" spans="1:12" x14ac:dyDescent="0.2">
      <c r="A182" s="2">
        <v>42582</v>
      </c>
      <c r="B182" s="9">
        <v>0.40999920000000001</v>
      </c>
      <c r="C182" s="9">
        <v>1.49491</v>
      </c>
      <c r="D182" s="9">
        <v>0.18663667</v>
      </c>
      <c r="E182" s="9">
        <v>0.86836590000000002</v>
      </c>
      <c r="F182" s="9">
        <v>1.3744987351893347</v>
      </c>
      <c r="G182" s="9">
        <v>1.3559868538853084</v>
      </c>
      <c r="H182" s="9">
        <v>4.0511819999999998</v>
      </c>
      <c r="I182" s="9">
        <v>-2.1079533000000001</v>
      </c>
      <c r="J182" s="38">
        <f t="shared" si="6"/>
        <v>-1.0849107999999998E-2</v>
      </c>
      <c r="K182" s="42">
        <f t="shared" si="7"/>
        <v>-6.8172922999999996E-3</v>
      </c>
      <c r="L182" s="40">
        <f t="shared" si="8"/>
        <v>6.1591353000000001E-2</v>
      </c>
    </row>
    <row r="183" spans="1:12" x14ac:dyDescent="0.2">
      <c r="A183" s="2">
        <v>42613</v>
      </c>
      <c r="B183" s="9">
        <v>0.37287999999999999</v>
      </c>
      <c r="C183" s="9">
        <v>1.5590824000000001</v>
      </c>
      <c r="D183" s="9">
        <v>0.28119840000000002</v>
      </c>
      <c r="E183" s="9">
        <v>1.0553093</v>
      </c>
      <c r="F183" s="9">
        <v>1.3744987351893347</v>
      </c>
      <c r="G183" s="9">
        <v>1.3559868538853084</v>
      </c>
      <c r="H183" s="9">
        <v>3.3912686999999999</v>
      </c>
      <c r="I183" s="9">
        <v>-2.1079533000000001</v>
      </c>
      <c r="J183" s="38">
        <f t="shared" si="6"/>
        <v>-1.1862024000000001E-2</v>
      </c>
      <c r="K183" s="42">
        <f t="shared" si="7"/>
        <v>-7.7411089999999995E-3</v>
      </c>
      <c r="L183" s="40">
        <f t="shared" si="8"/>
        <v>5.4992219999999994E-2</v>
      </c>
    </row>
    <row r="184" spans="1:12" x14ac:dyDescent="0.2">
      <c r="A184" s="2">
        <v>42643</v>
      </c>
      <c r="B184" s="9">
        <v>0.41945640000000001</v>
      </c>
      <c r="C184" s="9">
        <v>1.6267</v>
      </c>
      <c r="D184" s="9">
        <v>0.45411116000000001</v>
      </c>
      <c r="E184" s="9">
        <v>1.5486488</v>
      </c>
      <c r="F184" s="9">
        <v>1.3838166418187976</v>
      </c>
      <c r="G184" s="9">
        <v>1.4104269786475561</v>
      </c>
      <c r="H184" s="9">
        <v>3.7152132999999998</v>
      </c>
      <c r="I184" s="9">
        <v>-2.1079533000000001</v>
      </c>
      <c r="J184" s="38">
        <f t="shared" si="6"/>
        <v>-1.2072435999999999E-2</v>
      </c>
      <c r="K184" s="42">
        <f t="shared" si="7"/>
        <v>-1.09453764E-2</v>
      </c>
      <c r="L184" s="40">
        <f t="shared" si="8"/>
        <v>5.8231666000000001E-2</v>
      </c>
    </row>
    <row r="185" spans="1:12" x14ac:dyDescent="0.2">
      <c r="A185" s="2">
        <v>42674</v>
      </c>
      <c r="B185" s="9">
        <v>0.52695024000000001</v>
      </c>
      <c r="C185" s="9">
        <v>1.7560522999999999</v>
      </c>
      <c r="D185" s="9">
        <v>0.50611910000000004</v>
      </c>
      <c r="E185" s="9">
        <v>1.6859157</v>
      </c>
      <c r="F185" s="9">
        <v>1.3838166418187976</v>
      </c>
      <c r="G185" s="9">
        <v>1.4104269786475561</v>
      </c>
      <c r="H185" s="9">
        <v>3.7987289999999998</v>
      </c>
      <c r="I185" s="9">
        <v>-1.9310843</v>
      </c>
      <c r="J185" s="38">
        <f t="shared" si="6"/>
        <v>-1.2291020599999997E-2</v>
      </c>
      <c r="K185" s="42">
        <f t="shared" si="7"/>
        <v>-1.1797966E-2</v>
      </c>
      <c r="L185" s="40">
        <f t="shared" si="8"/>
        <v>5.7298133000000001E-2</v>
      </c>
    </row>
    <row r="186" spans="1:12" x14ac:dyDescent="0.2">
      <c r="A186" s="2">
        <v>42704</v>
      </c>
      <c r="B186" s="9">
        <v>0.82743409999999995</v>
      </c>
      <c r="C186" s="9">
        <v>2.1416097000000001</v>
      </c>
      <c r="D186" s="9">
        <v>0.57728356000000003</v>
      </c>
      <c r="E186" s="9">
        <v>1.6843360000000001</v>
      </c>
      <c r="F186" s="9">
        <v>1.3838166418187976</v>
      </c>
      <c r="G186" s="9">
        <v>1.4104269786475561</v>
      </c>
      <c r="H186" s="9">
        <v>3.4897152999999999</v>
      </c>
      <c r="I186" s="9">
        <v>-1.9310843</v>
      </c>
      <c r="J186" s="38">
        <f t="shared" si="6"/>
        <v>-1.3141755999999999E-2</v>
      </c>
      <c r="K186" s="42">
        <f t="shared" si="7"/>
        <v>-1.1070524399999998E-2</v>
      </c>
      <c r="L186" s="40">
        <f t="shared" si="8"/>
        <v>5.4207995999999994E-2</v>
      </c>
    </row>
    <row r="187" spans="1:12" x14ac:dyDescent="0.2">
      <c r="A187" s="2">
        <v>42735</v>
      </c>
      <c r="B187" s="9">
        <v>0.8873375</v>
      </c>
      <c r="C187" s="9">
        <v>2.4906619999999999</v>
      </c>
      <c r="D187" s="9">
        <v>1.0034605999999999</v>
      </c>
      <c r="E187" s="9">
        <v>2.0508012999999998</v>
      </c>
      <c r="F187" s="9">
        <v>1.4275256246403365</v>
      </c>
      <c r="G187" s="9">
        <v>1.4707800478430606</v>
      </c>
      <c r="H187" s="9">
        <v>3.1157767999999999</v>
      </c>
      <c r="I187" s="9">
        <v>-1.9310843</v>
      </c>
      <c r="J187" s="38">
        <f t="shared" si="6"/>
        <v>-1.6033244999999998E-2</v>
      </c>
      <c r="K187" s="42">
        <f t="shared" si="7"/>
        <v>-1.0473406999999999E-2</v>
      </c>
      <c r="L187" s="40">
        <f t="shared" si="8"/>
        <v>5.0468611000000003E-2</v>
      </c>
    </row>
    <row r="188" spans="1:12" x14ac:dyDescent="0.2">
      <c r="A188" s="2">
        <v>42766</v>
      </c>
      <c r="B188" s="9">
        <v>0.96603410000000001</v>
      </c>
      <c r="C188" s="9">
        <v>2.4220945999999999</v>
      </c>
      <c r="D188" s="9">
        <v>1.586681</v>
      </c>
      <c r="E188" s="9">
        <v>2.5103970000000002</v>
      </c>
      <c r="F188" s="9">
        <v>1.4275256246403365</v>
      </c>
      <c r="G188" s="9">
        <v>1.4707800478430606</v>
      </c>
      <c r="H188" s="9">
        <v>3.2917578000000001</v>
      </c>
      <c r="I188" s="9">
        <v>-1.7730836000000001</v>
      </c>
      <c r="J188" s="38">
        <f t="shared" si="6"/>
        <v>-1.4560604999999999E-2</v>
      </c>
      <c r="K188" s="42">
        <f t="shared" si="7"/>
        <v>-9.2371600000000012E-3</v>
      </c>
      <c r="L188" s="40">
        <f t="shared" si="8"/>
        <v>5.0648414000000003E-2</v>
      </c>
    </row>
    <row r="189" spans="1:12" x14ac:dyDescent="0.2">
      <c r="A189" s="2">
        <v>42794</v>
      </c>
      <c r="B189" s="9">
        <v>1.0764864999999999</v>
      </c>
      <c r="C189" s="9">
        <v>2.4171421999999998</v>
      </c>
      <c r="D189" s="9">
        <v>1.7588140999999999</v>
      </c>
      <c r="E189" s="9">
        <v>2.8103604</v>
      </c>
      <c r="F189" s="9">
        <v>1.4275256246403365</v>
      </c>
      <c r="G189" s="9">
        <v>1.4707800478430606</v>
      </c>
      <c r="H189" s="9">
        <v>4.2180862000000001</v>
      </c>
      <c r="I189" s="9">
        <v>-1.7730836000000001</v>
      </c>
      <c r="J189" s="38">
        <f t="shared" si="6"/>
        <v>-1.3406557E-2</v>
      </c>
      <c r="K189" s="42">
        <f t="shared" si="7"/>
        <v>-1.0515463000000001E-2</v>
      </c>
      <c r="L189" s="40">
        <f t="shared" si="8"/>
        <v>5.9911697999999999E-2</v>
      </c>
    </row>
    <row r="190" spans="1:12" x14ac:dyDescent="0.2">
      <c r="A190" s="2">
        <v>42825</v>
      </c>
      <c r="B190" s="9">
        <v>1.1105689999999999</v>
      </c>
      <c r="C190" s="9">
        <v>2.4820304000000002</v>
      </c>
      <c r="D190" s="9">
        <v>1.4847398999999999</v>
      </c>
      <c r="E190" s="9">
        <v>2.4411942999999998</v>
      </c>
      <c r="F190" s="9">
        <v>1.4828798625054489</v>
      </c>
      <c r="G190" s="9">
        <v>1.4561325680324313</v>
      </c>
      <c r="H190" s="9">
        <v>4.5552460000000004</v>
      </c>
      <c r="I190" s="9">
        <v>-1.7730836000000001</v>
      </c>
      <c r="J190" s="38">
        <f t="shared" si="6"/>
        <v>-1.3714614000000003E-2</v>
      </c>
      <c r="K190" s="42">
        <f t="shared" si="7"/>
        <v>-9.5645439999999995E-3</v>
      </c>
      <c r="L190" s="40">
        <f t="shared" si="8"/>
        <v>6.3283296000000003E-2</v>
      </c>
    </row>
    <row r="191" spans="1:12" x14ac:dyDescent="0.2">
      <c r="A191" s="2">
        <v>42855</v>
      </c>
      <c r="B191" s="9">
        <v>0.98382853999999997</v>
      </c>
      <c r="C191" s="9">
        <v>2.2897422000000001</v>
      </c>
      <c r="D191" s="9">
        <v>1.626339</v>
      </c>
      <c r="E191" s="9">
        <v>2.1762161</v>
      </c>
      <c r="F191" s="9">
        <v>1.4828798625054489</v>
      </c>
      <c r="G191" s="9">
        <v>1.4561325680324313</v>
      </c>
      <c r="H191" s="9">
        <v>1.1030439000000001</v>
      </c>
      <c r="I191" s="9">
        <v>-2.1388326000000002</v>
      </c>
      <c r="J191" s="38">
        <f t="shared" si="6"/>
        <v>-1.30591366E-2</v>
      </c>
      <c r="K191" s="42">
        <f t="shared" si="7"/>
        <v>-5.4987710000000004E-3</v>
      </c>
      <c r="L191" s="40">
        <f t="shared" si="8"/>
        <v>3.2418765000000002E-2</v>
      </c>
    </row>
    <row r="192" spans="1:12" x14ac:dyDescent="0.2">
      <c r="A192" s="2">
        <v>42886</v>
      </c>
      <c r="B192" s="9">
        <v>0.99510109999999996</v>
      </c>
      <c r="C192" s="9">
        <v>2.2988183000000002</v>
      </c>
      <c r="D192" s="9">
        <v>1.2719133</v>
      </c>
      <c r="E192" s="9">
        <v>1.8563422000000001</v>
      </c>
      <c r="F192" s="9">
        <v>1.4828798625054489</v>
      </c>
      <c r="G192" s="9">
        <v>1.4561325680324313</v>
      </c>
      <c r="H192" s="9">
        <v>1.6571175</v>
      </c>
      <c r="I192" s="9">
        <v>-2.1388326000000002</v>
      </c>
      <c r="J192" s="38">
        <f t="shared" si="6"/>
        <v>-1.3037172000000003E-2</v>
      </c>
      <c r="K192" s="42">
        <f t="shared" si="7"/>
        <v>-5.8442889999999999E-3</v>
      </c>
      <c r="L192" s="40">
        <f t="shared" si="8"/>
        <v>3.7959501E-2</v>
      </c>
    </row>
    <row r="193" spans="1:12" x14ac:dyDescent="0.2">
      <c r="A193" s="2">
        <v>42916</v>
      </c>
      <c r="B193" s="9">
        <v>0.88377850000000002</v>
      </c>
      <c r="C193" s="9">
        <v>2.1775139999999999</v>
      </c>
      <c r="D193" s="9">
        <v>1.1331502</v>
      </c>
      <c r="E193" s="9">
        <v>1.6405651999999999</v>
      </c>
      <c r="F193" s="9">
        <v>1.5091033080925695</v>
      </c>
      <c r="G193" s="9">
        <v>1.4933659024217603</v>
      </c>
      <c r="H193" s="9">
        <v>2.1383529999999999</v>
      </c>
      <c r="I193" s="9">
        <v>-2.1388326000000002</v>
      </c>
      <c r="J193" s="38">
        <f t="shared" si="6"/>
        <v>-1.2937354999999999E-2</v>
      </c>
      <c r="K193" s="42">
        <f t="shared" si="7"/>
        <v>-5.0741499999999995E-3</v>
      </c>
      <c r="L193" s="40">
        <f t="shared" si="8"/>
        <v>4.2771856000000004E-2</v>
      </c>
    </row>
    <row r="194" spans="1:12" x14ac:dyDescent="0.2">
      <c r="A194" s="2">
        <v>42947</v>
      </c>
      <c r="B194" s="9">
        <v>1.0654937</v>
      </c>
      <c r="C194" s="9">
        <v>2.3151503</v>
      </c>
      <c r="D194" s="9">
        <v>1.2287456000000001</v>
      </c>
      <c r="E194" s="9">
        <v>1.7251002</v>
      </c>
      <c r="F194" s="9">
        <v>1.5091033080925695</v>
      </c>
      <c r="G194" s="9">
        <v>1.4933659024217603</v>
      </c>
      <c r="H194" s="9">
        <v>4.0740280000000002</v>
      </c>
      <c r="I194" s="9">
        <v>-1.7420964000000001</v>
      </c>
      <c r="J194" s="38">
        <f t="shared" si="6"/>
        <v>-1.2496566000000001E-2</v>
      </c>
      <c r="K194" s="42">
        <f t="shared" si="7"/>
        <v>-4.9635459999999984E-3</v>
      </c>
      <c r="L194" s="40">
        <f t="shared" si="8"/>
        <v>5.8161244000000008E-2</v>
      </c>
    </row>
    <row r="195" spans="1:12" x14ac:dyDescent="0.2">
      <c r="A195" s="2">
        <v>42978</v>
      </c>
      <c r="B195" s="9">
        <v>0.93258039999999998</v>
      </c>
      <c r="C195" s="9">
        <v>2.2135563</v>
      </c>
      <c r="D195" s="9">
        <v>1.4031393999999999</v>
      </c>
      <c r="E195" s="9">
        <v>1.9281279</v>
      </c>
      <c r="F195" s="9">
        <v>1.5091033080925695</v>
      </c>
      <c r="G195" s="9">
        <v>1.4933659024217603</v>
      </c>
      <c r="H195" s="9">
        <v>4.8175080000000001</v>
      </c>
      <c r="I195" s="9">
        <v>-1.7420964000000001</v>
      </c>
      <c r="J195" s="38">
        <f t="shared" si="6"/>
        <v>-1.2809759E-2</v>
      </c>
      <c r="K195" s="42">
        <f t="shared" si="7"/>
        <v>-5.249885000000001E-3</v>
      </c>
      <c r="L195" s="40">
        <f t="shared" si="8"/>
        <v>6.5596044000000006E-2</v>
      </c>
    </row>
    <row r="196" spans="1:12" x14ac:dyDescent="0.2">
      <c r="A196" s="2">
        <v>43008</v>
      </c>
      <c r="B196" s="9">
        <v>0.93424076</v>
      </c>
      <c r="C196" s="9">
        <v>2.1891904000000002</v>
      </c>
      <c r="D196" s="9">
        <v>1.3499006</v>
      </c>
      <c r="E196" s="9">
        <v>2.1805629999999998</v>
      </c>
      <c r="F196" s="9">
        <v>1.5482901714408595</v>
      </c>
      <c r="G196" s="9">
        <v>1.5052874143413628</v>
      </c>
      <c r="H196" s="9">
        <v>4.8852900000000004</v>
      </c>
      <c r="I196" s="9">
        <v>-1.7420964000000001</v>
      </c>
      <c r="J196" s="38">
        <f t="shared" ref="J196:J259" si="9">(B196-C196)/100</f>
        <v>-1.2549496400000002E-2</v>
      </c>
      <c r="K196" s="42">
        <f t="shared" ref="K196:K259" si="10">(D196-E196)/100</f>
        <v>-8.3066239999999986E-3</v>
      </c>
      <c r="L196" s="40">
        <f t="shared" ref="L196:L259" si="11">(H196-I196)/100</f>
        <v>6.6273864000000002E-2</v>
      </c>
    </row>
    <row r="197" spans="1:12" x14ac:dyDescent="0.2">
      <c r="A197" s="2">
        <v>43039</v>
      </c>
      <c r="B197" s="9">
        <v>0.95992785999999997</v>
      </c>
      <c r="C197" s="9">
        <v>2.3549047000000001</v>
      </c>
      <c r="D197" s="9">
        <v>1.2866533</v>
      </c>
      <c r="E197" s="9">
        <v>2.0207655</v>
      </c>
      <c r="F197" s="9">
        <v>1.5482901714408595</v>
      </c>
      <c r="G197" s="9">
        <v>1.5052874143413628</v>
      </c>
      <c r="H197" s="9">
        <v>4.5929812999999999</v>
      </c>
      <c r="I197" s="9">
        <v>-1.8454976000000001</v>
      </c>
      <c r="J197" s="38">
        <f t="shared" si="9"/>
        <v>-1.39497684E-2</v>
      </c>
      <c r="K197" s="42">
        <f t="shared" si="10"/>
        <v>-7.3411220000000003E-3</v>
      </c>
      <c r="L197" s="40">
        <f t="shared" si="11"/>
        <v>6.4384788999999998E-2</v>
      </c>
    </row>
    <row r="198" spans="1:12" x14ac:dyDescent="0.2">
      <c r="A198" s="2">
        <v>43069</v>
      </c>
      <c r="B198" s="9">
        <v>0.84863186000000002</v>
      </c>
      <c r="C198" s="9">
        <v>2.3523475999999999</v>
      </c>
      <c r="D198" s="9">
        <v>1.4176457</v>
      </c>
      <c r="E198" s="9">
        <v>2.1724923</v>
      </c>
      <c r="F198" s="9">
        <v>1.5482901714408595</v>
      </c>
      <c r="G198" s="9">
        <v>1.5052874143413628</v>
      </c>
      <c r="H198" s="9">
        <v>4.6646419999999997</v>
      </c>
      <c r="I198" s="9">
        <v>-1.8454976000000001</v>
      </c>
      <c r="J198" s="38">
        <f t="shared" si="9"/>
        <v>-1.5037157399999999E-2</v>
      </c>
      <c r="K198" s="42">
        <f t="shared" si="10"/>
        <v>-7.5484660000000002E-3</v>
      </c>
      <c r="L198" s="40">
        <f t="shared" si="11"/>
        <v>6.5101395999999992E-2</v>
      </c>
    </row>
    <row r="199" spans="1:12" x14ac:dyDescent="0.2">
      <c r="A199" s="2">
        <v>43100</v>
      </c>
      <c r="B199" s="9">
        <v>0.82568810000000004</v>
      </c>
      <c r="C199" s="9">
        <v>2.4049249000000001</v>
      </c>
      <c r="D199" s="9">
        <v>1.2665055000000001</v>
      </c>
      <c r="E199" s="9">
        <v>2.1299307000000001</v>
      </c>
      <c r="F199" s="9">
        <v>1.5549549378145855</v>
      </c>
      <c r="G199" s="9">
        <v>1.5866248434432455</v>
      </c>
      <c r="H199" s="9">
        <v>4.7725340000000003</v>
      </c>
      <c r="I199" s="9">
        <v>-1.8454976000000001</v>
      </c>
      <c r="J199" s="38">
        <f t="shared" si="9"/>
        <v>-1.5792368000000001E-2</v>
      </c>
      <c r="K199" s="42">
        <f t="shared" si="10"/>
        <v>-8.6342520000000002E-3</v>
      </c>
      <c r="L199" s="40">
        <f t="shared" si="11"/>
        <v>6.6180316000000003E-2</v>
      </c>
    </row>
    <row r="200" spans="1:12" x14ac:dyDescent="0.2">
      <c r="A200" s="2">
        <v>43131</v>
      </c>
      <c r="B200" s="9">
        <v>0.98201035999999997</v>
      </c>
      <c r="C200" s="9">
        <v>2.5688282999999998</v>
      </c>
      <c r="D200" s="9">
        <v>1.2013079</v>
      </c>
      <c r="E200" s="9">
        <v>2.1513182999999998</v>
      </c>
      <c r="F200" s="9">
        <v>1.5549549378145855</v>
      </c>
      <c r="G200" s="9">
        <v>1.5866248434432455</v>
      </c>
      <c r="H200" s="9">
        <v>4.8076505999999997</v>
      </c>
      <c r="I200" s="9">
        <v>-1.9052807</v>
      </c>
      <c r="J200" s="38">
        <f t="shared" si="9"/>
        <v>-1.5868179400000001E-2</v>
      </c>
      <c r="K200" s="42">
        <f t="shared" si="10"/>
        <v>-9.5001039999999988E-3</v>
      </c>
      <c r="L200" s="40">
        <f t="shared" si="11"/>
        <v>6.7129312999999996E-2</v>
      </c>
    </row>
    <row r="201" spans="1:12" x14ac:dyDescent="0.2">
      <c r="A201" s="2">
        <v>43159</v>
      </c>
      <c r="B201" s="9">
        <v>1.1258573999999999</v>
      </c>
      <c r="C201" s="9">
        <v>2.8585207000000001</v>
      </c>
      <c r="D201" s="9">
        <v>1.1067574</v>
      </c>
      <c r="E201" s="9">
        <v>2.2634734999999999</v>
      </c>
      <c r="F201" s="9">
        <v>1.5549549378145855</v>
      </c>
      <c r="G201" s="9">
        <v>1.5866248434432455</v>
      </c>
      <c r="H201" s="9">
        <v>4.3856845</v>
      </c>
      <c r="I201" s="9">
        <v>-1.9052807</v>
      </c>
      <c r="J201" s="38">
        <f t="shared" si="9"/>
        <v>-1.7326633000000001E-2</v>
      </c>
      <c r="K201" s="42">
        <f t="shared" si="10"/>
        <v>-1.1567160999999999E-2</v>
      </c>
      <c r="L201" s="40">
        <f t="shared" si="11"/>
        <v>6.290965200000001E-2</v>
      </c>
    </row>
    <row r="202" spans="1:12" x14ac:dyDescent="0.2">
      <c r="A202" s="2">
        <v>43190</v>
      </c>
      <c r="B202" s="9">
        <v>0.99957912999999998</v>
      </c>
      <c r="C202" s="9">
        <v>2.8420953999999998</v>
      </c>
      <c r="D202" s="9">
        <v>1.2544293</v>
      </c>
      <c r="E202" s="9">
        <v>2.3309470000000001</v>
      </c>
      <c r="F202" s="9">
        <v>1.4375465875260587</v>
      </c>
      <c r="G202" s="9">
        <v>1.6297550286124185</v>
      </c>
      <c r="H202" s="9">
        <v>4.7489065999999998</v>
      </c>
      <c r="I202" s="9">
        <v>-1.9052807</v>
      </c>
      <c r="J202" s="38">
        <f t="shared" si="9"/>
        <v>-1.8425162700000001E-2</v>
      </c>
      <c r="K202" s="42">
        <f t="shared" si="10"/>
        <v>-1.0765177000000001E-2</v>
      </c>
      <c r="L202" s="40">
        <f t="shared" si="11"/>
        <v>6.6541873000000001E-2</v>
      </c>
    </row>
    <row r="203" spans="1:12" x14ac:dyDescent="0.2">
      <c r="A203" s="2">
        <v>43220</v>
      </c>
      <c r="B203" s="9">
        <v>0.92329090000000003</v>
      </c>
      <c r="C203" s="9">
        <v>2.8657143</v>
      </c>
      <c r="D203" s="9">
        <v>1.2579651999999999</v>
      </c>
      <c r="E203" s="9">
        <v>2.4710030000000001</v>
      </c>
      <c r="F203" s="9">
        <v>1.4375465875260587</v>
      </c>
      <c r="G203" s="9">
        <v>1.6297550286124185</v>
      </c>
      <c r="H203" s="9">
        <v>3.8226193999999998</v>
      </c>
      <c r="I203" s="9">
        <v>-1.8410067999999999</v>
      </c>
      <c r="J203" s="38">
        <f t="shared" si="9"/>
        <v>-1.9424233999999999E-2</v>
      </c>
      <c r="K203" s="42">
        <f t="shared" si="10"/>
        <v>-1.2130378000000002E-2</v>
      </c>
      <c r="L203" s="40">
        <f t="shared" si="11"/>
        <v>5.6636261999999993E-2</v>
      </c>
    </row>
    <row r="204" spans="1:12" x14ac:dyDescent="0.2">
      <c r="A204" s="2">
        <v>43251</v>
      </c>
      <c r="B204" s="9">
        <v>0.99871270000000001</v>
      </c>
      <c r="C204" s="9">
        <v>2.9764140000000001</v>
      </c>
      <c r="D204" s="9">
        <v>1.7229478</v>
      </c>
      <c r="E204" s="9">
        <v>2.7819283000000001</v>
      </c>
      <c r="F204" s="9">
        <v>1.4375465875260587</v>
      </c>
      <c r="G204" s="9">
        <v>1.6297550286124185</v>
      </c>
      <c r="H204" s="9">
        <v>3.7568038000000001</v>
      </c>
      <c r="I204" s="9">
        <v>-1.8410067999999999</v>
      </c>
      <c r="J204" s="38">
        <f t="shared" si="9"/>
        <v>-1.9777013E-2</v>
      </c>
      <c r="K204" s="42">
        <f t="shared" si="10"/>
        <v>-1.0589805000000001E-2</v>
      </c>
      <c r="L204" s="40">
        <f t="shared" si="11"/>
        <v>5.5978106E-2</v>
      </c>
    </row>
    <row r="205" spans="1:12" x14ac:dyDescent="0.2">
      <c r="A205" s="2">
        <v>43281</v>
      </c>
      <c r="B205" s="9">
        <v>1.0313429000000001</v>
      </c>
      <c r="C205" s="9">
        <v>2.9115186</v>
      </c>
      <c r="D205" s="9">
        <v>1.8131063000000001</v>
      </c>
      <c r="E205" s="9">
        <v>2.8075614</v>
      </c>
      <c r="F205" s="9">
        <v>1.4607895897897996</v>
      </c>
      <c r="G205" s="9">
        <v>1.6260030540961452</v>
      </c>
      <c r="H205" s="9">
        <v>4.2980533000000003</v>
      </c>
      <c r="I205" s="9">
        <v>-1.8410067999999999</v>
      </c>
      <c r="J205" s="38">
        <f t="shared" si="9"/>
        <v>-1.8801756999999999E-2</v>
      </c>
      <c r="K205" s="42">
        <f t="shared" si="10"/>
        <v>-9.9445509999999994E-3</v>
      </c>
      <c r="L205" s="40">
        <f t="shared" si="11"/>
        <v>6.1390601000000003E-2</v>
      </c>
    </row>
    <row r="206" spans="1:12" x14ac:dyDescent="0.2">
      <c r="A206" s="2">
        <v>43312</v>
      </c>
      <c r="B206" s="9">
        <v>0.94791789999999998</v>
      </c>
      <c r="C206" s="9">
        <v>2.88781</v>
      </c>
      <c r="D206" s="9">
        <v>1.8984493</v>
      </c>
      <c r="E206" s="9">
        <v>2.854133</v>
      </c>
      <c r="F206" s="9">
        <v>1.4607895897897996</v>
      </c>
      <c r="G206" s="9">
        <v>1.6260030540961452</v>
      </c>
      <c r="H206" s="9">
        <v>3.7494717</v>
      </c>
      <c r="I206" s="9">
        <v>-2.2852356</v>
      </c>
      <c r="J206" s="38">
        <f t="shared" si="9"/>
        <v>-1.9398921E-2</v>
      </c>
      <c r="K206" s="42">
        <f t="shared" si="10"/>
        <v>-9.5568370000000003E-3</v>
      </c>
      <c r="L206" s="40">
        <f t="shared" si="11"/>
        <v>6.0347073000000001E-2</v>
      </c>
    </row>
    <row r="207" spans="1:12" x14ac:dyDescent="0.2">
      <c r="A207" s="2">
        <v>43343</v>
      </c>
      <c r="B207" s="9">
        <v>1.0414852000000001</v>
      </c>
      <c r="C207" s="9">
        <v>2.8869307000000002</v>
      </c>
      <c r="D207" s="9">
        <v>1.9196202</v>
      </c>
      <c r="E207" s="9">
        <v>2.6429144999999998</v>
      </c>
      <c r="F207" s="9">
        <v>1.4607895897897996</v>
      </c>
      <c r="G207" s="9">
        <v>1.6260030540961452</v>
      </c>
      <c r="H207" s="9">
        <v>4.4588194000000003</v>
      </c>
      <c r="I207" s="9">
        <v>-2.2852356</v>
      </c>
      <c r="J207" s="38">
        <f t="shared" si="9"/>
        <v>-1.8454455000000002E-2</v>
      </c>
      <c r="K207" s="42">
        <f t="shared" si="10"/>
        <v>-7.2329429999999986E-3</v>
      </c>
      <c r="L207" s="40">
        <f t="shared" si="11"/>
        <v>6.7440550000000002E-2</v>
      </c>
    </row>
    <row r="208" spans="1:12" x14ac:dyDescent="0.2">
      <c r="A208" s="2">
        <v>43373</v>
      </c>
      <c r="B208" s="9">
        <v>1.0715665999999999</v>
      </c>
      <c r="C208" s="9">
        <v>3.0024842999999999</v>
      </c>
      <c r="D208" s="9">
        <v>2.0233420999999998</v>
      </c>
      <c r="E208" s="9">
        <v>2.3320541000000001</v>
      </c>
      <c r="F208" s="9">
        <v>1.3480473645477606</v>
      </c>
      <c r="G208" s="9">
        <v>1.6044201215837077</v>
      </c>
      <c r="H208" s="9">
        <v>3.9257019999999998</v>
      </c>
      <c r="I208" s="9">
        <v>-2.2852356</v>
      </c>
      <c r="J208" s="38">
        <f t="shared" si="9"/>
        <v>-1.9309177E-2</v>
      </c>
      <c r="K208" s="42">
        <f t="shared" si="10"/>
        <v>-3.0871200000000031E-3</v>
      </c>
      <c r="L208" s="40">
        <f t="shared" si="11"/>
        <v>6.2109375999999994E-2</v>
      </c>
    </row>
    <row r="209" spans="1:12" x14ac:dyDescent="0.2">
      <c r="A209" s="2">
        <v>43404</v>
      </c>
      <c r="B209" s="9">
        <v>1.1973726</v>
      </c>
      <c r="C209" s="9">
        <v>3.1535869999999999</v>
      </c>
      <c r="D209" s="9">
        <v>2.1267260000000001</v>
      </c>
      <c r="E209" s="9">
        <v>2.4920268000000001</v>
      </c>
      <c r="F209" s="9">
        <v>1.3480473645477606</v>
      </c>
      <c r="G209" s="9">
        <v>1.6044201215837077</v>
      </c>
      <c r="H209" s="9">
        <v>2.9015474000000001</v>
      </c>
      <c r="I209" s="9">
        <v>-2.4594475999999998</v>
      </c>
      <c r="J209" s="38">
        <f t="shared" si="9"/>
        <v>-1.9562144E-2</v>
      </c>
      <c r="K209" s="42">
        <f t="shared" si="10"/>
        <v>-3.6530079999999997E-3</v>
      </c>
      <c r="L209" s="40">
        <f t="shared" si="11"/>
        <v>5.3609949999999996E-2</v>
      </c>
    </row>
    <row r="210" spans="1:12" x14ac:dyDescent="0.2">
      <c r="A210" s="2">
        <v>43434</v>
      </c>
      <c r="B210" s="9">
        <v>1.1397630000000001</v>
      </c>
      <c r="C210" s="9">
        <v>3.1157756000000001</v>
      </c>
      <c r="D210" s="9">
        <v>1.8682917000000001</v>
      </c>
      <c r="E210" s="9">
        <v>2.1473303000000001</v>
      </c>
      <c r="F210" s="9">
        <v>1.3480473645477606</v>
      </c>
      <c r="G210" s="9">
        <v>1.6044201215837077</v>
      </c>
      <c r="H210" s="9">
        <v>2.5134660000000002</v>
      </c>
      <c r="I210" s="9">
        <v>-2.4594475999999998</v>
      </c>
      <c r="J210" s="38">
        <f t="shared" si="9"/>
        <v>-1.9760125999999999E-2</v>
      </c>
      <c r="K210" s="42">
        <f t="shared" si="10"/>
        <v>-2.7903860000000002E-3</v>
      </c>
      <c r="L210" s="40">
        <f t="shared" si="11"/>
        <v>4.9729136E-2</v>
      </c>
    </row>
    <row r="211" spans="1:12" x14ac:dyDescent="0.2">
      <c r="A211" s="2">
        <v>43465</v>
      </c>
      <c r="B211" s="9">
        <v>0.98285526000000001</v>
      </c>
      <c r="C211" s="9">
        <v>2.8296994999999998</v>
      </c>
      <c r="D211" s="9">
        <v>1.519266</v>
      </c>
      <c r="E211" s="9">
        <v>2.0023787</v>
      </c>
      <c r="F211" s="9">
        <v>1.2949993490453537</v>
      </c>
      <c r="G211" s="9">
        <v>1.4620244169180749</v>
      </c>
      <c r="H211" s="9">
        <v>2.5806117</v>
      </c>
      <c r="I211" s="9">
        <v>-2.4594475999999998</v>
      </c>
      <c r="J211" s="38">
        <f t="shared" si="9"/>
        <v>-1.8468442399999997E-2</v>
      </c>
      <c r="K211" s="42">
        <f t="shared" si="10"/>
        <v>-4.8311269999999993E-3</v>
      </c>
      <c r="L211" s="40">
        <f t="shared" si="11"/>
        <v>5.0400592999999994E-2</v>
      </c>
    </row>
    <row r="212" spans="1:12" x14ac:dyDescent="0.2">
      <c r="A212" s="2">
        <v>43496</v>
      </c>
      <c r="B212" s="9">
        <v>0.90706085999999997</v>
      </c>
      <c r="C212" s="9">
        <v>2.7061996000000001</v>
      </c>
      <c r="D212" s="9">
        <v>1.2968295999999999</v>
      </c>
      <c r="E212" s="9">
        <v>1.4875934</v>
      </c>
      <c r="F212" s="9">
        <v>1.2949993490453537</v>
      </c>
      <c r="G212" s="9">
        <v>1.4620244169180749</v>
      </c>
      <c r="H212" s="9">
        <v>4.4691963000000001</v>
      </c>
      <c r="I212" s="9">
        <v>-2.1805265</v>
      </c>
      <c r="J212" s="38">
        <f t="shared" si="9"/>
        <v>-1.7991387399999999E-2</v>
      </c>
      <c r="K212" s="42">
        <f t="shared" si="10"/>
        <v>-1.9076380000000003E-3</v>
      </c>
      <c r="L212" s="40">
        <f t="shared" si="11"/>
        <v>6.6497228000000005E-2</v>
      </c>
    </row>
    <row r="213" spans="1:12" x14ac:dyDescent="0.2">
      <c r="A213" s="2">
        <v>43524</v>
      </c>
      <c r="B213" s="9">
        <v>0.84294599999999997</v>
      </c>
      <c r="C213" s="9">
        <v>2.6745945999999998</v>
      </c>
      <c r="D213" s="9">
        <v>1.4100288000000001</v>
      </c>
      <c r="E213" s="9">
        <v>1.5188538</v>
      </c>
      <c r="F213" s="9">
        <v>1.2949993490453537</v>
      </c>
      <c r="G213" s="9">
        <v>1.4620244169180749</v>
      </c>
      <c r="H213" s="9">
        <v>4.0023970000000002</v>
      </c>
      <c r="I213" s="9">
        <v>-2.1805265</v>
      </c>
      <c r="J213" s="38">
        <f t="shared" si="9"/>
        <v>-1.8316486E-2</v>
      </c>
      <c r="K213" s="42">
        <f t="shared" si="10"/>
        <v>-1.0882499999999996E-3</v>
      </c>
      <c r="L213" s="40">
        <f t="shared" si="11"/>
        <v>6.1829235000000003E-2</v>
      </c>
    </row>
    <row r="214" spans="1:12" x14ac:dyDescent="0.2">
      <c r="A214" s="2">
        <v>43555</v>
      </c>
      <c r="B214" s="9">
        <v>0.73986700000000005</v>
      </c>
      <c r="C214" s="9">
        <v>2.5691809999999999</v>
      </c>
      <c r="D214" s="9">
        <v>1.5154538</v>
      </c>
      <c r="E214" s="9">
        <v>1.8831822</v>
      </c>
      <c r="F214" s="9">
        <v>1.4172367741555369</v>
      </c>
      <c r="G214" s="9">
        <v>1.4314896534297465</v>
      </c>
      <c r="H214" s="9">
        <v>4.8799634000000003</v>
      </c>
      <c r="I214" s="9">
        <v>-2.1805265</v>
      </c>
      <c r="J214" s="38">
        <f t="shared" si="9"/>
        <v>-1.8293139999999999E-2</v>
      </c>
      <c r="K214" s="42">
        <f t="shared" si="10"/>
        <v>-3.6772840000000007E-3</v>
      </c>
      <c r="L214" s="40">
        <f t="shared" si="11"/>
        <v>7.0604898999999999E-2</v>
      </c>
    </row>
    <row r="215" spans="1:12" x14ac:dyDescent="0.2">
      <c r="A215" s="2">
        <v>43585</v>
      </c>
      <c r="B215" s="9">
        <v>0.67979029999999996</v>
      </c>
      <c r="C215" s="9">
        <v>2.5276909999999999</v>
      </c>
      <c r="D215" s="9">
        <v>1.6229112000000001</v>
      </c>
      <c r="E215" s="9">
        <v>2.0005844000000002</v>
      </c>
      <c r="F215" s="9">
        <v>1.4172367741555369</v>
      </c>
      <c r="G215" s="9">
        <v>1.4314896534297465</v>
      </c>
      <c r="H215" s="9">
        <v>1.5219254</v>
      </c>
      <c r="I215" s="9">
        <v>-2.1984922999999998</v>
      </c>
      <c r="J215" s="38">
        <f t="shared" si="9"/>
        <v>-1.8479006999999999E-2</v>
      </c>
      <c r="K215" s="42">
        <f t="shared" si="10"/>
        <v>-3.7767320000000005E-3</v>
      </c>
      <c r="L215" s="40">
        <f t="shared" si="11"/>
        <v>3.7204176999999998E-2</v>
      </c>
    </row>
    <row r="216" spans="1:12" x14ac:dyDescent="0.2">
      <c r="A216" s="2">
        <v>43616</v>
      </c>
      <c r="B216" s="9">
        <v>0.61501545000000002</v>
      </c>
      <c r="C216" s="9">
        <v>2.3912360000000001</v>
      </c>
      <c r="D216" s="9">
        <v>1.3266296</v>
      </c>
      <c r="E216" s="9">
        <v>1.7959027999999999</v>
      </c>
      <c r="F216" s="9">
        <v>1.4172367741555369</v>
      </c>
      <c r="G216" s="9">
        <v>1.4314896534297465</v>
      </c>
      <c r="H216" s="9">
        <v>2.4127242999999998</v>
      </c>
      <c r="I216" s="9">
        <v>-2.1984922999999998</v>
      </c>
      <c r="J216" s="38">
        <f t="shared" si="9"/>
        <v>-1.7762205500000003E-2</v>
      </c>
      <c r="K216" s="42">
        <f t="shared" si="10"/>
        <v>-4.6927319999999998E-3</v>
      </c>
      <c r="L216" s="40">
        <f t="shared" si="11"/>
        <v>4.6112165999999996E-2</v>
      </c>
    </row>
    <row r="217" spans="1:12" x14ac:dyDescent="0.2">
      <c r="A217" s="2">
        <v>43646</v>
      </c>
      <c r="B217" s="9">
        <v>0.36148439999999998</v>
      </c>
      <c r="C217" s="9">
        <v>2.069515</v>
      </c>
      <c r="D217" s="9">
        <v>1.2858145000000001</v>
      </c>
      <c r="E217" s="9">
        <v>1.6711961</v>
      </c>
      <c r="F217" s="9">
        <v>1.3927937015530105</v>
      </c>
      <c r="G217" s="9">
        <v>1.4800687057220538</v>
      </c>
      <c r="H217" s="9">
        <v>2.2103815</v>
      </c>
      <c r="I217" s="9">
        <v>-2.1984922999999998</v>
      </c>
      <c r="J217" s="38">
        <f t="shared" si="9"/>
        <v>-1.7080306E-2</v>
      </c>
      <c r="K217" s="42">
        <f t="shared" si="10"/>
        <v>-3.8538159999999986E-3</v>
      </c>
      <c r="L217" s="40">
        <f t="shared" si="11"/>
        <v>4.4088738000000002E-2</v>
      </c>
    </row>
    <row r="218" spans="1:12" x14ac:dyDescent="0.2">
      <c r="A218" s="2">
        <v>43677</v>
      </c>
      <c r="B218" s="9">
        <v>0.16512080000000001</v>
      </c>
      <c r="C218" s="9">
        <v>2.0543550000000002</v>
      </c>
      <c r="D218" s="9">
        <v>1.1631973</v>
      </c>
      <c r="E218" s="9">
        <v>1.8263210000000001</v>
      </c>
      <c r="F218" s="9">
        <v>1.3927937015530105</v>
      </c>
      <c r="G218" s="9">
        <v>1.4800687057220538</v>
      </c>
      <c r="H218" s="9">
        <v>4.1570004999999997</v>
      </c>
      <c r="I218" s="9">
        <v>-2.0270041999999999</v>
      </c>
      <c r="J218" s="38">
        <f t="shared" si="9"/>
        <v>-1.8892342000000003E-2</v>
      </c>
      <c r="K218" s="42">
        <f t="shared" si="10"/>
        <v>-6.6312370000000008E-3</v>
      </c>
      <c r="L218" s="40">
        <f t="shared" si="11"/>
        <v>6.1840046999999988E-2</v>
      </c>
    </row>
    <row r="219" spans="1:12" x14ac:dyDescent="0.2">
      <c r="A219" s="2">
        <v>43708</v>
      </c>
      <c r="B219" s="9">
        <v>-0.100972846</v>
      </c>
      <c r="C219" s="9">
        <v>1.6224179000000001</v>
      </c>
      <c r="D219" s="9">
        <v>1.1477184</v>
      </c>
      <c r="E219" s="9">
        <v>1.7376415999999999</v>
      </c>
      <c r="F219" s="9">
        <v>1.3927937015530105</v>
      </c>
      <c r="G219" s="9">
        <v>1.4800687057220538</v>
      </c>
      <c r="H219" s="9">
        <v>4.6415930000000003</v>
      </c>
      <c r="I219" s="9">
        <v>-2.0270041999999999</v>
      </c>
      <c r="J219" s="38">
        <f t="shared" si="9"/>
        <v>-1.7233907460000003E-2</v>
      </c>
      <c r="K219" s="42">
        <f t="shared" si="10"/>
        <v>-5.899231999999999E-3</v>
      </c>
      <c r="L219" s="40">
        <f t="shared" si="11"/>
        <v>6.668597200000001E-2</v>
      </c>
    </row>
    <row r="220" spans="1:12" x14ac:dyDescent="0.2">
      <c r="A220" s="2">
        <v>43738</v>
      </c>
      <c r="B220" s="9">
        <v>-0.123716615</v>
      </c>
      <c r="C220" s="9">
        <v>1.6921902</v>
      </c>
      <c r="D220" s="9">
        <v>0.94059276999999997</v>
      </c>
      <c r="E220" s="9">
        <v>1.6845014</v>
      </c>
      <c r="F220" s="9">
        <v>1.414908050478928</v>
      </c>
      <c r="G220" s="9">
        <v>1.5600942305560461</v>
      </c>
      <c r="H220" s="9">
        <v>4.1819870000000003</v>
      </c>
      <c r="I220" s="9">
        <v>-2.0270041999999999</v>
      </c>
      <c r="J220" s="38">
        <f t="shared" si="9"/>
        <v>-1.8159068149999999E-2</v>
      </c>
      <c r="K220" s="42">
        <f t="shared" si="10"/>
        <v>-7.4390863000000007E-3</v>
      </c>
      <c r="L220" s="40">
        <f t="shared" si="11"/>
        <v>6.2089911999999997E-2</v>
      </c>
    </row>
    <row r="221" spans="1:12" x14ac:dyDescent="0.2">
      <c r="A221" s="2">
        <v>43769</v>
      </c>
      <c r="B221" s="9">
        <v>-4.0619433000000003E-2</v>
      </c>
      <c r="C221" s="9">
        <v>1.7022913</v>
      </c>
      <c r="D221" s="9">
        <v>0.84699446</v>
      </c>
      <c r="E221" s="9">
        <v>1.7339785000000001</v>
      </c>
      <c r="F221" s="9">
        <v>1.414908050478928</v>
      </c>
      <c r="G221" s="9">
        <v>1.5600942305560461</v>
      </c>
      <c r="H221" s="9">
        <v>1.8575592999999999</v>
      </c>
      <c r="I221" s="9">
        <v>-1.8094383000000001</v>
      </c>
      <c r="J221" s="38">
        <f t="shared" si="9"/>
        <v>-1.7429107329999999E-2</v>
      </c>
      <c r="K221" s="42">
        <f t="shared" si="10"/>
        <v>-8.8698404000000005E-3</v>
      </c>
      <c r="L221" s="40">
        <f t="shared" si="11"/>
        <v>3.6669976E-2</v>
      </c>
    </row>
    <row r="222" spans="1:12" x14ac:dyDescent="0.2">
      <c r="A222" s="2">
        <v>43799</v>
      </c>
      <c r="B222" s="9">
        <v>0.10446727</v>
      </c>
      <c r="C222" s="9">
        <v>1.8158352</v>
      </c>
      <c r="D222" s="9">
        <v>0.92799799999999999</v>
      </c>
      <c r="E222" s="9">
        <v>2.0922928000000001</v>
      </c>
      <c r="F222" s="9">
        <v>1.414908050478928</v>
      </c>
      <c r="G222" s="9">
        <v>1.5600942305560461</v>
      </c>
      <c r="H222" s="9">
        <v>1.6493129</v>
      </c>
      <c r="I222" s="9">
        <v>-1.8094383000000001</v>
      </c>
      <c r="J222" s="38">
        <f t="shared" si="9"/>
        <v>-1.71136793E-2</v>
      </c>
      <c r="K222" s="42">
        <f t="shared" si="10"/>
        <v>-1.1642948E-2</v>
      </c>
      <c r="L222" s="40">
        <f t="shared" si="11"/>
        <v>3.4587512000000001E-2</v>
      </c>
    </row>
    <row r="223" spans="1:12" x14ac:dyDescent="0.2">
      <c r="A223" s="2">
        <v>43830</v>
      </c>
      <c r="B223" s="9">
        <v>0.17214470000000001</v>
      </c>
      <c r="C223" s="9">
        <v>1.8604379</v>
      </c>
      <c r="D223" s="9">
        <v>1.3260571000000001</v>
      </c>
      <c r="E223" s="9">
        <v>2.3195294999999998</v>
      </c>
      <c r="F223" s="9">
        <v>1.2948905558884984</v>
      </c>
      <c r="G223" s="9">
        <v>1.6326070916365851</v>
      </c>
      <c r="H223" s="9">
        <v>1.5450934000000001</v>
      </c>
      <c r="I223" s="9">
        <v>-1.8094383000000001</v>
      </c>
      <c r="J223" s="38">
        <f t="shared" si="9"/>
        <v>-1.6882932E-2</v>
      </c>
      <c r="K223" s="42">
        <f t="shared" si="10"/>
        <v>-9.9347239999999972E-3</v>
      </c>
      <c r="L223" s="40">
        <f t="shared" si="11"/>
        <v>3.3545316999999998E-2</v>
      </c>
    </row>
    <row r="224" spans="1:12" x14ac:dyDescent="0.2">
      <c r="A224" s="2">
        <v>43861</v>
      </c>
      <c r="B224" s="9">
        <v>0.13215724000000001</v>
      </c>
      <c r="C224" s="9">
        <v>1.7524431</v>
      </c>
      <c r="D224" s="9">
        <v>1.3842918</v>
      </c>
      <c r="E224" s="9">
        <v>2.5997783999999999</v>
      </c>
      <c r="F224" s="9">
        <v>1.2948905558884984</v>
      </c>
      <c r="G224" s="9">
        <v>1.6326070916365851</v>
      </c>
      <c r="H224" s="9">
        <v>0.42316483999999999</v>
      </c>
      <c r="I224" s="9">
        <v>-1.8103011</v>
      </c>
      <c r="J224" s="38">
        <f t="shared" si="9"/>
        <v>-1.6202858600000002E-2</v>
      </c>
      <c r="K224" s="42">
        <f t="shared" si="10"/>
        <v>-1.2154866E-2</v>
      </c>
      <c r="L224" s="40">
        <f t="shared" si="11"/>
        <v>2.2334659399999998E-2</v>
      </c>
    </row>
    <row r="225" spans="1:12" x14ac:dyDescent="0.2">
      <c r="A225" s="2">
        <v>43890</v>
      </c>
      <c r="B225" s="9">
        <v>-4.2309593E-2</v>
      </c>
      <c r="C225" s="9">
        <v>1.5016844</v>
      </c>
      <c r="D225" s="9">
        <v>1.2325330999999999</v>
      </c>
      <c r="E225" s="9">
        <v>2.3413279999999999</v>
      </c>
      <c r="F225" s="9">
        <v>1.2948905558884984</v>
      </c>
      <c r="G225" s="9">
        <v>1.6326070916365851</v>
      </c>
      <c r="H225" s="9">
        <v>1.4535028999999999</v>
      </c>
      <c r="I225" s="9">
        <v>-1.8103011</v>
      </c>
      <c r="J225" s="38">
        <f t="shared" si="9"/>
        <v>-1.543993993E-2</v>
      </c>
      <c r="K225" s="42">
        <f t="shared" si="10"/>
        <v>-1.1087949E-2</v>
      </c>
      <c r="L225" s="40">
        <f t="shared" si="11"/>
        <v>3.263804E-2</v>
      </c>
    </row>
    <row r="226" spans="1:12" x14ac:dyDescent="0.2">
      <c r="A226" s="2">
        <v>43921</v>
      </c>
      <c r="B226" s="9">
        <v>0.107907094</v>
      </c>
      <c r="C226" s="9">
        <v>0.85995449999999996</v>
      </c>
      <c r="D226" s="9">
        <v>0.80070269999999999</v>
      </c>
      <c r="E226" s="9">
        <v>1.4940374999999999</v>
      </c>
      <c r="F226" s="9">
        <v>-1.2386051997862322</v>
      </c>
      <c r="G226" s="9">
        <v>1.3162423742811851</v>
      </c>
      <c r="H226" s="9">
        <v>0.88820790000000005</v>
      </c>
      <c r="I226" s="9">
        <v>-1.8103011</v>
      </c>
      <c r="J226" s="38">
        <f t="shared" si="9"/>
        <v>-7.5204740599999998E-3</v>
      </c>
      <c r="K226" s="42">
        <f t="shared" si="10"/>
        <v>-6.9333479999999989E-3</v>
      </c>
      <c r="L226" s="40">
        <f t="shared" si="11"/>
        <v>2.698509E-2</v>
      </c>
    </row>
    <row r="227" spans="1:12" x14ac:dyDescent="0.2">
      <c r="A227" s="2">
        <v>43951</v>
      </c>
      <c r="B227" s="9">
        <v>0.25337019999999999</v>
      </c>
      <c r="C227" s="9">
        <v>0.64954769999999995</v>
      </c>
      <c r="D227" s="9">
        <v>0.41970881999999998</v>
      </c>
      <c r="E227" s="9">
        <v>0.31305562999999997</v>
      </c>
      <c r="F227" s="9">
        <v>-1.2386051997862322</v>
      </c>
      <c r="G227" s="9">
        <v>1.3162423742811851</v>
      </c>
      <c r="H227" s="9">
        <v>1.117194</v>
      </c>
      <c r="I227" s="9">
        <v>-2.9706888</v>
      </c>
      <c r="J227" s="38">
        <f t="shared" si="9"/>
        <v>-3.9617749999999998E-3</v>
      </c>
      <c r="K227" s="42">
        <f t="shared" si="10"/>
        <v>1.0665319E-3</v>
      </c>
      <c r="L227" s="40">
        <f t="shared" si="11"/>
        <v>4.0878827999999999E-2</v>
      </c>
    </row>
    <row r="228" spans="1:12" x14ac:dyDescent="0.2">
      <c r="A228" s="2">
        <v>43982</v>
      </c>
      <c r="B228" s="9">
        <v>0.18495479000000001</v>
      </c>
      <c r="C228" s="9">
        <v>0.67238503999999999</v>
      </c>
      <c r="D228" s="9">
        <v>0.25297955</v>
      </c>
      <c r="E228" s="9">
        <v>0.19819516000000001</v>
      </c>
      <c r="F228" s="9">
        <v>-1.2386051997862322</v>
      </c>
      <c r="G228" s="9">
        <v>1.3162423742811851</v>
      </c>
      <c r="H228" s="9">
        <v>1.6390545000000001</v>
      </c>
      <c r="I228" s="9">
        <v>-2.9706888</v>
      </c>
      <c r="J228" s="38">
        <f t="shared" si="9"/>
        <v>-4.8743024999999994E-3</v>
      </c>
      <c r="K228" s="42">
        <f t="shared" si="10"/>
        <v>5.4784389999999988E-4</v>
      </c>
      <c r="L228" s="40">
        <f t="shared" si="11"/>
        <v>4.6097433E-2</v>
      </c>
    </row>
    <row r="229" spans="1:12" x14ac:dyDescent="0.2">
      <c r="A229" s="2">
        <v>44012</v>
      </c>
      <c r="B229" s="9">
        <v>0.11630608000000001</v>
      </c>
      <c r="C229" s="9">
        <v>0.72247720000000004</v>
      </c>
      <c r="D229" s="9">
        <v>0.42583244999999997</v>
      </c>
      <c r="E229" s="9">
        <v>0.71665084000000001</v>
      </c>
      <c r="F229" s="9">
        <v>-2.3524305018199225</v>
      </c>
      <c r="G229" s="9">
        <v>-1.8665013845295222</v>
      </c>
      <c r="H229" s="9">
        <v>2.7111201</v>
      </c>
      <c r="I229" s="9">
        <v>-2.9706888</v>
      </c>
      <c r="J229" s="38">
        <f t="shared" si="9"/>
        <v>-6.0617112000000009E-3</v>
      </c>
      <c r="K229" s="42">
        <f t="shared" si="10"/>
        <v>-2.9081839000000003E-3</v>
      </c>
      <c r="L229" s="40">
        <f t="shared" si="11"/>
        <v>5.6818089000000002E-2</v>
      </c>
    </row>
    <row r="230" spans="1:12" x14ac:dyDescent="0.2">
      <c r="A230" s="2">
        <v>44043</v>
      </c>
      <c r="B230" s="9">
        <v>6.1645730000000004E-4</v>
      </c>
      <c r="C230" s="9">
        <v>0.61427730000000003</v>
      </c>
      <c r="D230" s="9">
        <v>0.28935227000000002</v>
      </c>
      <c r="E230" s="9">
        <v>0.99686617</v>
      </c>
      <c r="F230" s="9">
        <v>-2.3524305018199225</v>
      </c>
      <c r="G230" s="9">
        <v>-1.8665013845295222</v>
      </c>
      <c r="H230" s="9">
        <v>3.3515364999999999</v>
      </c>
      <c r="I230" s="9">
        <v>-3.0814748000000001</v>
      </c>
      <c r="J230" s="38">
        <f t="shared" si="9"/>
        <v>-6.1366084269999996E-3</v>
      </c>
      <c r="K230" s="42">
        <f t="shared" si="10"/>
        <v>-7.0751389999999994E-3</v>
      </c>
      <c r="L230" s="40">
        <f t="shared" si="11"/>
        <v>6.4330113000000008E-2</v>
      </c>
    </row>
    <row r="231" spans="1:12" x14ac:dyDescent="0.2">
      <c r="A231" s="2">
        <v>44074</v>
      </c>
      <c r="B231" s="9">
        <v>-4.3518130000000002E-2</v>
      </c>
      <c r="C231" s="9">
        <v>0.64450485000000002</v>
      </c>
      <c r="D231" s="9">
        <v>3.398644E-2</v>
      </c>
      <c r="E231" s="9">
        <v>1.2810773</v>
      </c>
      <c r="F231" s="9">
        <v>-2.3524305018199225</v>
      </c>
      <c r="G231" s="9">
        <v>-1.8665013845295222</v>
      </c>
      <c r="H231" s="9">
        <v>3.3342456999999999</v>
      </c>
      <c r="I231" s="9">
        <v>-3.0814748000000001</v>
      </c>
      <c r="J231" s="38">
        <f t="shared" si="9"/>
        <v>-6.880229800000001E-3</v>
      </c>
      <c r="K231" s="42">
        <f t="shared" si="10"/>
        <v>-1.2470908599999999E-2</v>
      </c>
      <c r="L231" s="40">
        <f t="shared" si="11"/>
        <v>6.4157204999999995E-2</v>
      </c>
    </row>
    <row r="232" spans="1:12" x14ac:dyDescent="0.2">
      <c r="A232" s="2">
        <v>44104</v>
      </c>
      <c r="B232" s="9">
        <v>-7.3899283999999996E-2</v>
      </c>
      <c r="C232" s="9">
        <v>0.67150944000000001</v>
      </c>
      <c r="D232" s="9">
        <v>-1.2196993999999999E-2</v>
      </c>
      <c r="E232" s="9">
        <v>1.3910258</v>
      </c>
      <c r="F232" s="9">
        <v>-1.4732629018880585</v>
      </c>
      <c r="G232" s="9">
        <v>-0.74465804164323213</v>
      </c>
      <c r="H232" s="9">
        <v>3.2520666</v>
      </c>
      <c r="I232" s="9">
        <v>-3.0814748000000001</v>
      </c>
      <c r="J232" s="38">
        <f t="shared" si="9"/>
        <v>-7.4540872400000006E-3</v>
      </c>
      <c r="K232" s="42">
        <f t="shared" si="10"/>
        <v>-1.4032227939999999E-2</v>
      </c>
      <c r="L232" s="40">
        <f t="shared" si="11"/>
        <v>6.3335413999999993E-2</v>
      </c>
    </row>
    <row r="233" spans="1:12" x14ac:dyDescent="0.2">
      <c r="A233" s="2">
        <v>44135</v>
      </c>
      <c r="B233" s="9">
        <v>-0.17768281999999999</v>
      </c>
      <c r="C233" s="9">
        <v>0.77234082999999998</v>
      </c>
      <c r="D233" s="9">
        <v>3.210561E-2</v>
      </c>
      <c r="E233" s="9">
        <v>1.2303729999999999</v>
      </c>
      <c r="F233" s="9">
        <v>-1.4732629018880585</v>
      </c>
      <c r="G233" s="9">
        <v>-0.74465804164323213</v>
      </c>
      <c r="H233" s="9">
        <v>3.9611998000000002</v>
      </c>
      <c r="I233" s="9">
        <v>-3.2635803000000001</v>
      </c>
      <c r="J233" s="38">
        <f t="shared" si="9"/>
        <v>-9.5002365000000002E-3</v>
      </c>
      <c r="K233" s="42">
        <f t="shared" si="10"/>
        <v>-1.1982673900000001E-2</v>
      </c>
      <c r="L233" s="40">
        <f t="shared" si="11"/>
        <v>7.2247801E-2</v>
      </c>
    </row>
    <row r="234" spans="1:12" x14ac:dyDescent="0.2">
      <c r="A234" s="2">
        <v>44165</v>
      </c>
      <c r="B234" s="9">
        <v>-0.20940312999999999</v>
      </c>
      <c r="C234" s="9">
        <v>0.86905014999999997</v>
      </c>
      <c r="D234" s="9">
        <v>1.413532E-2</v>
      </c>
      <c r="E234" s="9">
        <v>1.1757461</v>
      </c>
      <c r="F234" s="9">
        <v>-1.4732629018880585</v>
      </c>
      <c r="G234" s="9">
        <v>-0.74465804164323213</v>
      </c>
      <c r="H234" s="9">
        <v>3.5471425000000001</v>
      </c>
      <c r="I234" s="9">
        <v>-3.2635803000000001</v>
      </c>
      <c r="J234" s="38">
        <f t="shared" si="9"/>
        <v>-1.07845328E-2</v>
      </c>
      <c r="K234" s="42">
        <f t="shared" si="10"/>
        <v>-1.1616107799999999E-2</v>
      </c>
      <c r="L234" s="40">
        <f t="shared" si="11"/>
        <v>6.8107228000000006E-2</v>
      </c>
    </row>
    <row r="235" spans="1:12" x14ac:dyDescent="0.2">
      <c r="A235" s="2">
        <v>44196</v>
      </c>
      <c r="B235" s="9">
        <v>-0.23700083999999999</v>
      </c>
      <c r="C235" s="9">
        <v>0.92768185999999997</v>
      </c>
      <c r="D235" s="9">
        <v>-7.3694711999999999E-3</v>
      </c>
      <c r="E235" s="9">
        <v>1.3204274</v>
      </c>
      <c r="F235" s="9">
        <v>-1.407316223545966</v>
      </c>
      <c r="G235" s="9">
        <v>-0.26368375431709684</v>
      </c>
      <c r="H235" s="9">
        <v>3.4782130000000002</v>
      </c>
      <c r="I235" s="9">
        <v>-3.2635803000000001</v>
      </c>
      <c r="J235" s="38">
        <f t="shared" si="9"/>
        <v>-1.1646827E-2</v>
      </c>
      <c r="K235" s="42">
        <f t="shared" si="10"/>
        <v>-1.3277968712000002E-2</v>
      </c>
      <c r="L235" s="40">
        <f t="shared" si="11"/>
        <v>6.7417932999999999E-2</v>
      </c>
    </row>
    <row r="236" spans="1:12" x14ac:dyDescent="0.2">
      <c r="A236" s="2">
        <v>44227</v>
      </c>
      <c r="B236" s="9">
        <v>-0.20496366999999999</v>
      </c>
      <c r="C236" s="9">
        <v>1.0676631999999999</v>
      </c>
      <c r="D236" s="9">
        <v>0.76848179999999999</v>
      </c>
      <c r="E236" s="9">
        <v>1.3553103</v>
      </c>
      <c r="F236" s="9">
        <v>-1.407316223545966</v>
      </c>
      <c r="G236" s="9">
        <v>-0.26368375431709684</v>
      </c>
      <c r="H236" s="9">
        <v>4.6559720000000002</v>
      </c>
      <c r="I236" s="9">
        <v>-3.3351939000000002</v>
      </c>
      <c r="J236" s="38">
        <f t="shared" si="9"/>
        <v>-1.2726268699999998E-2</v>
      </c>
      <c r="K236" s="42">
        <f t="shared" si="10"/>
        <v>-5.868285E-3</v>
      </c>
      <c r="L236" s="40">
        <f t="shared" si="11"/>
        <v>7.991165900000001E-2</v>
      </c>
    </row>
    <row r="237" spans="1:12" x14ac:dyDescent="0.2">
      <c r="A237" s="2">
        <v>44255</v>
      </c>
      <c r="B237" s="9">
        <v>-7.5464320000000001E-2</v>
      </c>
      <c r="C237" s="9">
        <v>1.2487261999999999</v>
      </c>
      <c r="D237" s="9">
        <v>0.83984040000000004</v>
      </c>
      <c r="E237" s="9">
        <v>1.6674925</v>
      </c>
      <c r="F237" s="9">
        <v>-1.407316223545966</v>
      </c>
      <c r="G237" s="9">
        <v>-0.26368375431709684</v>
      </c>
      <c r="H237" s="9">
        <v>4.6483230000000004</v>
      </c>
      <c r="I237" s="9">
        <v>-3.3351939000000002</v>
      </c>
      <c r="J237" s="38">
        <f t="shared" si="9"/>
        <v>-1.3241905199999999E-2</v>
      </c>
      <c r="K237" s="42">
        <f t="shared" si="10"/>
        <v>-8.2765210000000002E-3</v>
      </c>
      <c r="L237" s="40">
        <f t="shared" si="11"/>
        <v>7.9835169000000011E-2</v>
      </c>
    </row>
    <row r="238" spans="1:12" x14ac:dyDescent="0.2">
      <c r="A238" s="2">
        <v>44286</v>
      </c>
      <c r="B238" s="9">
        <v>4.5049010000000004E-3</v>
      </c>
      <c r="C238" s="9">
        <v>1.6073999999999999</v>
      </c>
      <c r="D238" s="9">
        <v>1.3482080000000001</v>
      </c>
      <c r="E238" s="9">
        <v>2.623653</v>
      </c>
      <c r="F238" s="9">
        <v>1.189074456281231</v>
      </c>
      <c r="G238" s="9">
        <v>1.4035336245860515</v>
      </c>
      <c r="H238" s="9">
        <v>4.7653689999999997</v>
      </c>
      <c r="I238" s="9">
        <v>-3.3351939000000002</v>
      </c>
      <c r="J238" s="38">
        <f t="shared" si="9"/>
        <v>-1.6028950989999999E-2</v>
      </c>
      <c r="K238" s="42">
        <f t="shared" si="10"/>
        <v>-1.2754449999999999E-2</v>
      </c>
      <c r="L238" s="40">
        <f t="shared" si="11"/>
        <v>8.1005628999999996E-2</v>
      </c>
    </row>
    <row r="239" spans="1:12" x14ac:dyDescent="0.2">
      <c r="A239" s="2">
        <v>44316</v>
      </c>
      <c r="B239" s="9">
        <v>7.0442270000000001E-2</v>
      </c>
      <c r="C239" s="9">
        <v>1.6169427999999999</v>
      </c>
      <c r="D239" s="9">
        <v>1.6232063000000001</v>
      </c>
      <c r="E239" s="9">
        <v>4.1373670000000002</v>
      </c>
      <c r="F239" s="9">
        <v>1.189074456281231</v>
      </c>
      <c r="G239" s="9">
        <v>1.4035336245860515</v>
      </c>
      <c r="H239" s="9">
        <v>4.5777130000000001</v>
      </c>
      <c r="I239" s="9">
        <v>-3.5811074000000001</v>
      </c>
      <c r="J239" s="38">
        <f t="shared" si="9"/>
        <v>-1.5465005299999999E-2</v>
      </c>
      <c r="K239" s="42">
        <f t="shared" si="10"/>
        <v>-2.5141607E-2</v>
      </c>
      <c r="L239" s="40">
        <f t="shared" si="11"/>
        <v>8.1588203999999998E-2</v>
      </c>
    </row>
    <row r="240" spans="1:12" x14ac:dyDescent="0.2">
      <c r="A240" s="2">
        <v>44347</v>
      </c>
      <c r="B240" s="9">
        <v>0.22488644999999999</v>
      </c>
      <c r="C240" s="9">
        <v>1.6128947</v>
      </c>
      <c r="D240" s="9">
        <v>1.9364437000000001</v>
      </c>
      <c r="E240" s="9">
        <v>4.9264764999999997</v>
      </c>
      <c r="F240" s="9">
        <v>1.189074456281231</v>
      </c>
      <c r="G240" s="9">
        <v>1.4035336245860515</v>
      </c>
      <c r="H240" s="9">
        <v>4.1167607000000004</v>
      </c>
      <c r="I240" s="9">
        <v>-3.5811074000000001</v>
      </c>
      <c r="J240" s="38">
        <f t="shared" si="9"/>
        <v>-1.38800825E-2</v>
      </c>
      <c r="K240" s="42">
        <f t="shared" si="10"/>
        <v>-2.9900327999999997E-2</v>
      </c>
      <c r="L240" s="40">
        <f t="shared" si="11"/>
        <v>7.6978681000000007E-2</v>
      </c>
    </row>
    <row r="241" spans="1:12" x14ac:dyDescent="0.2">
      <c r="A241" s="2">
        <v>44377</v>
      </c>
      <c r="B241" s="9">
        <v>0.15971276000000001</v>
      </c>
      <c r="C241" s="9">
        <v>1.5127136999999999</v>
      </c>
      <c r="D241" s="9">
        <v>1.9741515999999999</v>
      </c>
      <c r="E241" s="9">
        <v>5.3174114000000001</v>
      </c>
      <c r="F241" s="9">
        <v>2.5575909139811488</v>
      </c>
      <c r="G241" s="9">
        <v>2.365676689258307</v>
      </c>
      <c r="H241" s="9">
        <v>4.1803939999999997</v>
      </c>
      <c r="I241" s="9">
        <v>-3.5811074000000001</v>
      </c>
      <c r="J241" s="38">
        <f t="shared" si="9"/>
        <v>-1.3530009399999997E-2</v>
      </c>
      <c r="K241" s="42">
        <f t="shared" si="10"/>
        <v>-3.3432598000000001E-2</v>
      </c>
      <c r="L241" s="40">
        <f t="shared" si="11"/>
        <v>7.7615013999999996E-2</v>
      </c>
    </row>
    <row r="242" spans="1:12" x14ac:dyDescent="0.2">
      <c r="A242" s="2">
        <v>44408</v>
      </c>
      <c r="B242" s="9">
        <v>7.5093929999999996E-3</v>
      </c>
      <c r="C242" s="9">
        <v>1.3081</v>
      </c>
      <c r="D242" s="9">
        <v>2.4095037000000001</v>
      </c>
      <c r="E242" s="9">
        <v>5.269171</v>
      </c>
      <c r="F242" s="9">
        <v>2.5575909139811488</v>
      </c>
      <c r="G242" s="9">
        <v>2.365676689258307</v>
      </c>
      <c r="H242" s="9">
        <v>4.4182696000000004</v>
      </c>
      <c r="I242" s="9">
        <v>-3.8881211000000002</v>
      </c>
      <c r="J242" s="38">
        <f t="shared" si="9"/>
        <v>-1.300590607E-2</v>
      </c>
      <c r="K242" s="42">
        <f t="shared" si="10"/>
        <v>-2.8596673E-2</v>
      </c>
      <c r="L242" s="40">
        <f t="shared" si="11"/>
        <v>8.306390700000002E-2</v>
      </c>
    </row>
    <row r="243" spans="1:12" x14ac:dyDescent="0.2">
      <c r="A243" s="2">
        <v>44439</v>
      </c>
      <c r="B243" s="9">
        <v>-9.0118320000000002E-2</v>
      </c>
      <c r="C243" s="9">
        <v>1.27735</v>
      </c>
      <c r="D243" s="9">
        <v>2.8130863000000002</v>
      </c>
      <c r="E243" s="9">
        <v>5.1813320000000003</v>
      </c>
      <c r="F243" s="9">
        <v>2.5575909139811488</v>
      </c>
      <c r="G243" s="9">
        <v>2.365676689258307</v>
      </c>
      <c r="H243" s="9">
        <v>4.0819263000000001</v>
      </c>
      <c r="I243" s="9">
        <v>-3.8881211000000002</v>
      </c>
      <c r="J243" s="38">
        <f t="shared" si="9"/>
        <v>-1.3674683199999999E-2</v>
      </c>
      <c r="K243" s="42">
        <f t="shared" si="10"/>
        <v>-2.3682457000000001E-2</v>
      </c>
      <c r="L243" s="40">
        <f t="shared" si="11"/>
        <v>7.9700474000000007E-2</v>
      </c>
    </row>
    <row r="244" spans="1:12" x14ac:dyDescent="0.2">
      <c r="A244" s="2">
        <v>44469</v>
      </c>
      <c r="B244" s="9">
        <v>5.7274690000000003E-2</v>
      </c>
      <c r="C244" s="9">
        <v>1.3711903999999999</v>
      </c>
      <c r="D244" s="9">
        <v>3.2164242000000001</v>
      </c>
      <c r="E244" s="9">
        <v>5.3635187000000002</v>
      </c>
      <c r="F244" s="9">
        <v>1.8675618562724243</v>
      </c>
      <c r="G244" s="9">
        <v>1.8147401166451134</v>
      </c>
      <c r="H244" s="9">
        <v>4.1585619999999999</v>
      </c>
      <c r="I244" s="9">
        <v>-3.8881211000000002</v>
      </c>
      <c r="J244" s="38">
        <f t="shared" si="9"/>
        <v>-1.3139157099999998E-2</v>
      </c>
      <c r="K244" s="42">
        <f t="shared" si="10"/>
        <v>-2.1470945000000002E-2</v>
      </c>
      <c r="L244" s="40">
        <f t="shared" si="11"/>
        <v>8.0466830999999989E-2</v>
      </c>
    </row>
    <row r="245" spans="1:12" x14ac:dyDescent="0.2">
      <c r="A245" s="2">
        <v>44500</v>
      </c>
      <c r="B245" s="9">
        <v>0.21388194999999999</v>
      </c>
      <c r="C245" s="9">
        <v>1.5755619000000001</v>
      </c>
      <c r="D245" s="9">
        <v>3.8234824999999999</v>
      </c>
      <c r="E245" s="9">
        <v>6.2266089999999998</v>
      </c>
      <c r="F245" s="9">
        <v>1.8675618562724243</v>
      </c>
      <c r="G245" s="9">
        <v>1.8147401166451134</v>
      </c>
      <c r="H245" s="9">
        <v>2.8718083000000001</v>
      </c>
      <c r="I245" s="9">
        <v>-3.6804399999999999</v>
      </c>
      <c r="J245" s="38">
        <f t="shared" si="9"/>
        <v>-1.36167995E-2</v>
      </c>
      <c r="K245" s="42">
        <f t="shared" si="10"/>
        <v>-2.4031265E-2</v>
      </c>
      <c r="L245" s="40">
        <f t="shared" si="11"/>
        <v>6.5522483000000006E-2</v>
      </c>
    </row>
    <row r="246" spans="1:12" x14ac:dyDescent="0.2">
      <c r="A246" s="2">
        <v>44530</v>
      </c>
      <c r="B246" s="9">
        <v>0.14839436</v>
      </c>
      <c r="C246" s="9">
        <v>1.5551618</v>
      </c>
      <c r="D246" s="9">
        <v>4.3832019999999998</v>
      </c>
      <c r="E246" s="9">
        <v>6.8655520000000001</v>
      </c>
      <c r="F246" s="9">
        <v>1.8675618562724243</v>
      </c>
      <c r="G246" s="9">
        <v>1.8147401166451134</v>
      </c>
      <c r="H246" s="9">
        <v>2.6435499999999998</v>
      </c>
      <c r="I246" s="9">
        <v>-3.6804399999999999</v>
      </c>
      <c r="J246" s="38">
        <f t="shared" si="9"/>
        <v>-1.4067674400000001E-2</v>
      </c>
      <c r="K246" s="42">
        <f t="shared" si="10"/>
        <v>-2.4823500000000002E-2</v>
      </c>
      <c r="L246" s="40">
        <f t="shared" si="11"/>
        <v>6.3239900000000002E-2</v>
      </c>
    </row>
    <row r="247" spans="1:12" x14ac:dyDescent="0.2">
      <c r="A247" s="2">
        <v>44561</v>
      </c>
      <c r="B247" s="9">
        <v>0.111685485</v>
      </c>
      <c r="C247" s="9">
        <v>1.4610498999999999</v>
      </c>
      <c r="D247" s="9">
        <v>4.6300892999999999</v>
      </c>
      <c r="E247" s="9">
        <v>7.1594515000000003</v>
      </c>
      <c r="F247" s="9">
        <v>1.9136130636133819</v>
      </c>
      <c r="G247" s="9">
        <v>1.8873284764387448</v>
      </c>
      <c r="H247" s="9">
        <v>1.3556314</v>
      </c>
      <c r="I247" s="9">
        <v>-3.6804399999999999</v>
      </c>
      <c r="J247" s="38">
        <f t="shared" si="9"/>
        <v>-1.3493644149999999E-2</v>
      </c>
      <c r="K247" s="42">
        <f t="shared" si="10"/>
        <v>-2.5293622000000005E-2</v>
      </c>
      <c r="L247" s="40">
        <f t="shared" si="11"/>
        <v>5.0360714000000001E-2</v>
      </c>
    </row>
    <row r="248" spans="1:12" x14ac:dyDescent="0.2">
      <c r="A248" s="2">
        <v>44592</v>
      </c>
      <c r="B248" s="9">
        <v>0.35558060000000002</v>
      </c>
      <c r="C248" s="9">
        <v>1.7611101</v>
      </c>
      <c r="D248" s="9">
        <v>4.7259096999999999</v>
      </c>
      <c r="E248" s="9">
        <v>7.578087</v>
      </c>
      <c r="F248" s="9">
        <v>1.9136130636133819</v>
      </c>
      <c r="G248" s="9">
        <v>1.8873284764387448</v>
      </c>
      <c r="H248" s="9">
        <v>2.9019553999999999</v>
      </c>
      <c r="I248" s="9">
        <v>-4.4823079999999997</v>
      </c>
      <c r="J248" s="38">
        <f t="shared" si="9"/>
        <v>-1.4055295000000001E-2</v>
      </c>
      <c r="K248" s="42">
        <f t="shared" si="10"/>
        <v>-2.8521773E-2</v>
      </c>
      <c r="L248" s="40">
        <f t="shared" si="11"/>
        <v>7.3842634000000004E-2</v>
      </c>
    </row>
    <row r="249" spans="1:12" x14ac:dyDescent="0.2">
      <c r="A249" s="2">
        <v>44620</v>
      </c>
      <c r="B249" s="9">
        <v>0.73184819999999995</v>
      </c>
      <c r="C249" s="9">
        <v>1.9355842000000001</v>
      </c>
      <c r="D249" s="9">
        <v>5.3066399999999998</v>
      </c>
      <c r="E249" s="9">
        <v>7.9492273000000004</v>
      </c>
      <c r="F249" s="9">
        <v>1.9136130636133819</v>
      </c>
      <c r="G249" s="9">
        <v>1.8873284764387448</v>
      </c>
      <c r="H249" s="9">
        <v>2.9928056999999999</v>
      </c>
      <c r="I249" s="9">
        <v>-4.4823079999999997</v>
      </c>
      <c r="J249" s="38">
        <f t="shared" si="9"/>
        <v>-1.2037360000000002E-2</v>
      </c>
      <c r="K249" s="42">
        <f t="shared" si="10"/>
        <v>-2.6425873000000006E-2</v>
      </c>
      <c r="L249" s="40">
        <f t="shared" si="11"/>
        <v>7.4751136999999995E-2</v>
      </c>
    </row>
    <row r="250" spans="1:12" x14ac:dyDescent="0.2">
      <c r="A250" s="2">
        <v>44651</v>
      </c>
      <c r="B250" s="9">
        <v>0.85565029999999997</v>
      </c>
      <c r="C250" s="9">
        <v>2.1266867999999999</v>
      </c>
      <c r="D250" s="9">
        <v>6.7232649999999996</v>
      </c>
      <c r="E250" s="9">
        <v>8.540775</v>
      </c>
      <c r="F250" s="9">
        <v>1.8734121977102134</v>
      </c>
      <c r="G250" s="9">
        <v>1.7116595268355179</v>
      </c>
      <c r="H250" s="9">
        <v>1.6475831000000001</v>
      </c>
      <c r="I250" s="9">
        <v>-4.4823079999999997</v>
      </c>
      <c r="J250" s="38">
        <f t="shared" si="9"/>
        <v>-1.2710365E-2</v>
      </c>
      <c r="K250" s="42">
        <f t="shared" si="10"/>
        <v>-1.8175100000000003E-2</v>
      </c>
      <c r="L250" s="40">
        <f t="shared" si="11"/>
        <v>6.1298910999999998E-2</v>
      </c>
    </row>
    <row r="251" spans="1:12" x14ac:dyDescent="0.2">
      <c r="A251" s="2">
        <v>44681</v>
      </c>
      <c r="B251" s="9">
        <v>1.3573782000000001</v>
      </c>
      <c r="C251" s="9">
        <v>2.7462300000000002</v>
      </c>
      <c r="D251" s="9">
        <v>6.7531809999999997</v>
      </c>
      <c r="E251" s="9">
        <v>8.2351539999999996</v>
      </c>
      <c r="F251" s="9">
        <v>1.8734121977102134</v>
      </c>
      <c r="G251" s="9">
        <v>1.7116595268355179</v>
      </c>
      <c r="H251" s="9">
        <v>0.37569200000000003</v>
      </c>
      <c r="I251" s="9">
        <v>-3.9556548999999999</v>
      </c>
      <c r="J251" s="38">
        <f t="shared" si="9"/>
        <v>-1.3888518000000001E-2</v>
      </c>
      <c r="K251" s="42">
        <f t="shared" si="10"/>
        <v>-1.481973E-2</v>
      </c>
      <c r="L251" s="40">
        <f t="shared" si="11"/>
        <v>4.3313469E-2</v>
      </c>
    </row>
    <row r="252" spans="1:12" x14ac:dyDescent="0.2">
      <c r="A252" s="2">
        <v>44712</v>
      </c>
      <c r="B252" s="9">
        <v>1.6392424000000001</v>
      </c>
      <c r="C252" s="9">
        <v>2.8988141999999999</v>
      </c>
      <c r="D252" s="9">
        <v>7.3149829999999998</v>
      </c>
      <c r="E252" s="9">
        <v>8.5300510000000003</v>
      </c>
      <c r="F252" s="9">
        <v>1.8734121977102134</v>
      </c>
      <c r="G252" s="9">
        <v>1.7116595268355179</v>
      </c>
      <c r="H252" s="9">
        <v>0.95480907000000004</v>
      </c>
      <c r="I252" s="9">
        <v>-3.9556548999999999</v>
      </c>
      <c r="J252" s="38">
        <f t="shared" si="9"/>
        <v>-1.2595717999999999E-2</v>
      </c>
      <c r="K252" s="42">
        <f t="shared" si="10"/>
        <v>-1.2150680000000004E-2</v>
      </c>
      <c r="L252" s="40">
        <f t="shared" si="11"/>
        <v>4.9104639700000001E-2</v>
      </c>
    </row>
    <row r="253" spans="1:12" x14ac:dyDescent="0.2">
      <c r="A253" s="2">
        <v>44742</v>
      </c>
      <c r="B253" s="9">
        <v>2.1564619999999999</v>
      </c>
      <c r="C253" s="9">
        <v>3.1392481000000001</v>
      </c>
      <c r="D253" s="9">
        <v>7.8167105000000001</v>
      </c>
      <c r="E253" s="9">
        <v>8.9992990000000006</v>
      </c>
      <c r="F253" s="9">
        <v>1.750466161528077</v>
      </c>
      <c r="G253" s="9">
        <v>1.5152456622908577</v>
      </c>
      <c r="H253" s="9">
        <v>0.6094543</v>
      </c>
      <c r="I253" s="9">
        <v>-3.9556548999999999</v>
      </c>
      <c r="J253" s="38">
        <f t="shared" si="9"/>
        <v>-9.827861000000002E-3</v>
      </c>
      <c r="K253" s="42">
        <f t="shared" si="10"/>
        <v>-1.1825885000000005E-2</v>
      </c>
      <c r="L253" s="40">
        <f t="shared" si="11"/>
        <v>4.5651092000000004E-2</v>
      </c>
    </row>
    <row r="254" spans="1:12" x14ac:dyDescent="0.2">
      <c r="A254" s="2">
        <v>44773</v>
      </c>
      <c r="B254" s="9">
        <v>1.8090223999999999</v>
      </c>
      <c r="C254" s="9">
        <v>2.8923402</v>
      </c>
      <c r="D254" s="9">
        <v>8.1178159999999995</v>
      </c>
      <c r="E254" s="9">
        <v>8.4477790000000006</v>
      </c>
      <c r="F254" s="9">
        <v>1.750466161528077</v>
      </c>
      <c r="G254" s="9">
        <v>1.5152456622908577</v>
      </c>
      <c r="H254" s="9">
        <v>-0.28804861999999998</v>
      </c>
      <c r="I254" s="9">
        <v>-3.4307842000000002</v>
      </c>
      <c r="J254" s="38">
        <f t="shared" si="9"/>
        <v>-1.0833178000000001E-2</v>
      </c>
      <c r="K254" s="42">
        <f t="shared" si="10"/>
        <v>-3.2996300000000113E-3</v>
      </c>
      <c r="L254" s="40">
        <f t="shared" si="11"/>
        <v>3.1427355800000001E-2</v>
      </c>
    </row>
    <row r="255" spans="1:12" x14ac:dyDescent="0.2">
      <c r="A255" s="2">
        <v>44804</v>
      </c>
      <c r="B255" s="9">
        <v>1.8070896000000001</v>
      </c>
      <c r="C255" s="9">
        <v>2.8994266999999998</v>
      </c>
      <c r="D255" s="9">
        <v>8.3028829999999996</v>
      </c>
      <c r="E255" s="9">
        <v>8.2162400000000009</v>
      </c>
      <c r="F255" s="9">
        <v>1.750466161528077</v>
      </c>
      <c r="G255" s="9">
        <v>1.5152456622908577</v>
      </c>
      <c r="H255" s="9">
        <v>-0.42493545999999999</v>
      </c>
      <c r="I255" s="9">
        <v>-3.4307842000000002</v>
      </c>
      <c r="J255" s="38">
        <f t="shared" si="9"/>
        <v>-1.0923370999999998E-2</v>
      </c>
      <c r="K255" s="42">
        <f t="shared" si="10"/>
        <v>8.6642999999998695E-4</v>
      </c>
      <c r="L255" s="40">
        <f t="shared" si="11"/>
        <v>3.0058487400000004E-2</v>
      </c>
    </row>
    <row r="256" spans="1:12" x14ac:dyDescent="0.2">
      <c r="A256" s="2">
        <v>44834</v>
      </c>
      <c r="B256" s="9">
        <v>2.5542902999999999</v>
      </c>
      <c r="C256" s="9">
        <v>3.5154190000000001</v>
      </c>
      <c r="D256" s="9">
        <v>8.9708229999999993</v>
      </c>
      <c r="E256" s="9">
        <v>8.2057494999999996</v>
      </c>
      <c r="F256" s="9">
        <v>1.5847323268322624</v>
      </c>
      <c r="G256" s="9">
        <v>1.4882754246254626</v>
      </c>
      <c r="H256" s="9">
        <v>0.44145985999999998</v>
      </c>
      <c r="I256" s="9">
        <v>-3.4307842000000002</v>
      </c>
      <c r="J256" s="38">
        <f t="shared" si="9"/>
        <v>-9.6112870000000013E-3</v>
      </c>
      <c r="K256" s="42">
        <f t="shared" si="10"/>
        <v>7.6507349999999971E-3</v>
      </c>
      <c r="L256" s="40">
        <f t="shared" si="11"/>
        <v>3.8722440600000005E-2</v>
      </c>
    </row>
    <row r="257" spans="1:12" x14ac:dyDescent="0.2">
      <c r="A257" s="2">
        <v>44865</v>
      </c>
      <c r="B257" s="9">
        <v>2.9156387000000001</v>
      </c>
      <c r="C257" s="9">
        <v>3.9699382999999999</v>
      </c>
      <c r="D257" s="9">
        <v>9.534732</v>
      </c>
      <c r="E257" s="9">
        <v>7.7572489999999998</v>
      </c>
      <c r="F257" s="9">
        <v>1.5847323268322624</v>
      </c>
      <c r="G257" s="9">
        <v>1.4882754246254626</v>
      </c>
      <c r="H257" s="9">
        <v>1.8874051999999999</v>
      </c>
      <c r="I257" s="9">
        <v>-3.4419336</v>
      </c>
      <c r="J257" s="38">
        <f t="shared" si="9"/>
        <v>-1.0542995999999997E-2</v>
      </c>
      <c r="K257" s="42">
        <f t="shared" si="10"/>
        <v>1.7774830000000002E-2</v>
      </c>
      <c r="L257" s="40">
        <f t="shared" si="11"/>
        <v>5.3293388000000004E-2</v>
      </c>
    </row>
    <row r="258" spans="1:12" x14ac:dyDescent="0.2">
      <c r="A258" s="2">
        <v>44895</v>
      </c>
      <c r="B258" s="9">
        <v>2.7221673000000002</v>
      </c>
      <c r="C258" s="9">
        <v>3.8858191999999998</v>
      </c>
      <c r="D258" s="9">
        <v>9.0232840000000003</v>
      </c>
      <c r="E258" s="9">
        <v>7.1313814999999998</v>
      </c>
      <c r="F258" s="9">
        <v>1.5847323268322624</v>
      </c>
      <c r="G258" s="9">
        <v>1.4882754246254626</v>
      </c>
      <c r="H258" s="9">
        <v>1.8939406999999999</v>
      </c>
      <c r="I258" s="9">
        <v>-3.4419336</v>
      </c>
      <c r="J258" s="38">
        <f t="shared" si="9"/>
        <v>-1.1636518999999996E-2</v>
      </c>
      <c r="K258" s="42">
        <f t="shared" si="10"/>
        <v>1.8919025000000006E-2</v>
      </c>
      <c r="L258" s="40">
        <f t="shared" si="11"/>
        <v>5.3358743000000007E-2</v>
      </c>
    </row>
    <row r="259" spans="1:12" x14ac:dyDescent="0.2">
      <c r="A259" s="2">
        <v>44926</v>
      </c>
      <c r="B259" s="9">
        <v>2.7694044</v>
      </c>
      <c r="C259" s="9">
        <v>3.6191998000000001</v>
      </c>
      <c r="D259" s="9">
        <v>8.4921240000000004</v>
      </c>
      <c r="E259" s="9">
        <v>6.4108349999999996</v>
      </c>
      <c r="F259" s="9">
        <v>1.4630049295072245</v>
      </c>
      <c r="G259" s="9">
        <v>1.3231142606487591</v>
      </c>
      <c r="H259" s="9">
        <v>1.2774926</v>
      </c>
      <c r="I259" s="9">
        <v>-3.4419336</v>
      </c>
      <c r="J259" s="38">
        <f t="shared" si="9"/>
        <v>-8.4979540000000003E-3</v>
      </c>
      <c r="K259" s="42">
        <f t="shared" si="10"/>
        <v>2.0812890000000007E-2</v>
      </c>
      <c r="L259" s="40">
        <f t="shared" si="11"/>
        <v>4.7194262000000001E-2</v>
      </c>
    </row>
    <row r="260" spans="1:12" x14ac:dyDescent="0.2">
      <c r="A260" s="2">
        <v>44957</v>
      </c>
      <c r="B260" s="9">
        <v>2.8135154</v>
      </c>
      <c r="C260" s="9">
        <v>3.537455</v>
      </c>
      <c r="D260" s="9">
        <v>8.1965610000000009</v>
      </c>
      <c r="E260" s="9">
        <v>6.3402944000000003</v>
      </c>
      <c r="F260" s="9">
        <v>1.4630049295072245</v>
      </c>
      <c r="G260" s="9">
        <v>1.3231142606487591</v>
      </c>
      <c r="H260" s="9">
        <v>1.7231026</v>
      </c>
      <c r="I260" s="9">
        <v>-3.3582236999999999</v>
      </c>
      <c r="J260" s="38">
        <f t="shared" ref="J260:J271" si="12">(B260-C260)/100</f>
        <v>-7.2393960000000004E-3</v>
      </c>
      <c r="K260" s="42">
        <f t="shared" ref="K260:K271" si="13">(D260-E260)/100</f>
        <v>1.8562666000000005E-2</v>
      </c>
      <c r="L260" s="40">
        <f t="shared" ref="L260:L271" si="14">(H260-I260)/100</f>
        <v>5.0813262999999997E-2</v>
      </c>
    </row>
    <row r="261" spans="1:12" x14ac:dyDescent="0.2">
      <c r="A261" s="2">
        <v>44985</v>
      </c>
      <c r="B261" s="9">
        <v>3.0108993000000002</v>
      </c>
      <c r="C261" s="9">
        <v>3.7467787000000001</v>
      </c>
      <c r="D261" s="9">
        <v>8.0807610000000007</v>
      </c>
      <c r="E261" s="9">
        <v>5.9576520000000004</v>
      </c>
      <c r="F261" s="9">
        <v>1.4630049295072245</v>
      </c>
      <c r="G261" s="9">
        <v>1.3231142606487591</v>
      </c>
      <c r="H261" s="9">
        <v>2.6604847999999999</v>
      </c>
      <c r="I261" s="9">
        <v>-3.3582236999999999</v>
      </c>
      <c r="J261" s="38">
        <f t="shared" si="12"/>
        <v>-7.3587939999999992E-3</v>
      </c>
      <c r="K261" s="42">
        <f t="shared" si="13"/>
        <v>2.1231090000000005E-2</v>
      </c>
      <c r="L261" s="40">
        <f t="shared" si="14"/>
        <v>6.0187085000000001E-2</v>
      </c>
    </row>
    <row r="262" spans="1:12" x14ac:dyDescent="0.2">
      <c r="A262" s="2">
        <v>45016</v>
      </c>
      <c r="B262" s="9">
        <v>3.0190203000000002</v>
      </c>
      <c r="C262" s="9">
        <v>3.6637911999999999</v>
      </c>
      <c r="D262" s="9">
        <v>6.6417612999999998</v>
      </c>
      <c r="E262" s="9">
        <v>4.9313560000000001</v>
      </c>
      <c r="F262" s="9">
        <v>1.332893149833746</v>
      </c>
      <c r="G262" s="9">
        <v>1.4859139132822665</v>
      </c>
      <c r="H262" s="9">
        <v>2.8555079999999999</v>
      </c>
      <c r="I262" s="9">
        <v>-3.3582236999999999</v>
      </c>
      <c r="J262" s="38">
        <f t="shared" si="12"/>
        <v>-6.4477089999999968E-3</v>
      </c>
      <c r="K262" s="42">
        <f t="shared" si="13"/>
        <v>1.7104052999999998E-2</v>
      </c>
      <c r="L262" s="40">
        <f t="shared" si="14"/>
        <v>6.2137317000000004E-2</v>
      </c>
    </row>
    <row r="263" spans="1:12" x14ac:dyDescent="0.2">
      <c r="A263" s="2">
        <v>45046</v>
      </c>
      <c r="B263" s="9">
        <v>2.9996078000000002</v>
      </c>
      <c r="C263" s="9">
        <v>3.4607475000000001</v>
      </c>
      <c r="D263" s="9">
        <v>6.6986856000000001</v>
      </c>
      <c r="E263" s="9">
        <v>4.9469529999999997</v>
      </c>
      <c r="F263" s="9">
        <v>1.332893149833746</v>
      </c>
      <c r="G263" s="9">
        <v>1.4859139132822665</v>
      </c>
      <c r="H263" s="9">
        <v>1.7653197</v>
      </c>
      <c r="I263" s="9">
        <v>-3.4224608000000001</v>
      </c>
      <c r="J263" s="38">
        <f t="shared" si="12"/>
        <v>-4.6113969999999997E-3</v>
      </c>
      <c r="K263" s="42">
        <f t="shared" si="13"/>
        <v>1.7517326000000003E-2</v>
      </c>
      <c r="L263" s="40">
        <f t="shared" si="14"/>
        <v>5.1877805000000006E-2</v>
      </c>
    </row>
    <row r="264" spans="1:12" x14ac:dyDescent="0.2">
      <c r="A264" s="2">
        <v>45077</v>
      </c>
      <c r="B264" s="9">
        <v>2.9986069999999998</v>
      </c>
      <c r="C264" s="9">
        <v>3.5704956000000001</v>
      </c>
      <c r="D264" s="9">
        <v>6.0050955000000004</v>
      </c>
      <c r="E264" s="9">
        <v>4.1253120000000001</v>
      </c>
      <c r="F264" s="9">
        <v>1.332893149833746</v>
      </c>
      <c r="G264" s="9">
        <v>1.4859139132822665</v>
      </c>
      <c r="H264" s="9">
        <v>2.3903055000000002</v>
      </c>
      <c r="I264" s="9">
        <v>-3.4224608000000001</v>
      </c>
      <c r="J264" s="38">
        <f t="shared" si="12"/>
        <v>-5.7188860000000029E-3</v>
      </c>
      <c r="K264" s="42">
        <f t="shared" si="13"/>
        <v>1.8797835000000002E-2</v>
      </c>
      <c r="L264" s="40">
        <f t="shared" si="14"/>
        <v>5.8127662999999996E-2</v>
      </c>
    </row>
    <row r="265" spans="1:12" x14ac:dyDescent="0.2">
      <c r="A265" s="2">
        <v>45107</v>
      </c>
      <c r="B265" s="9">
        <v>2.9881350000000002</v>
      </c>
      <c r="C265" s="9">
        <v>3.7449479999999999</v>
      </c>
      <c r="D265" s="9">
        <v>5.4157786000000003</v>
      </c>
      <c r="E265" s="9">
        <v>3.0592641999999999</v>
      </c>
      <c r="F265" s="9">
        <v>1.1774831445936875</v>
      </c>
      <c r="G265" s="9">
        <v>1.5644992290422672</v>
      </c>
      <c r="H265" s="9">
        <v>2.5719194000000001</v>
      </c>
      <c r="I265" s="9">
        <v>-3.4224608000000001</v>
      </c>
      <c r="J265" s="38">
        <f t="shared" si="12"/>
        <v>-7.5681299999999976E-3</v>
      </c>
      <c r="K265" s="42">
        <f t="shared" si="13"/>
        <v>2.3565144000000003E-2</v>
      </c>
      <c r="L265" s="40">
        <f t="shared" si="14"/>
        <v>5.9943802000000004E-2</v>
      </c>
    </row>
    <row r="266" spans="1:12" x14ac:dyDescent="0.2">
      <c r="A266" s="2">
        <v>45138</v>
      </c>
      <c r="B266" s="9">
        <v>3.0889053</v>
      </c>
      <c r="C266" s="9">
        <v>3.8947845000000001</v>
      </c>
      <c r="D266" s="9">
        <v>5.1133432000000001</v>
      </c>
      <c r="E266" s="9">
        <v>3.2803249999999999</v>
      </c>
      <c r="F266" s="9">
        <v>1.1774831445936875</v>
      </c>
      <c r="G266" s="9">
        <v>1.5644992290422672</v>
      </c>
      <c r="H266" s="9">
        <v>2.5779972</v>
      </c>
      <c r="I266" s="9">
        <v>-3.1578145000000002</v>
      </c>
      <c r="J266" s="38">
        <f t="shared" si="12"/>
        <v>-8.0587920000000021E-3</v>
      </c>
      <c r="K266" s="42">
        <f t="shared" si="13"/>
        <v>1.8330182E-2</v>
      </c>
      <c r="L266" s="40">
        <f t="shared" si="14"/>
        <v>5.7358117E-2</v>
      </c>
    </row>
    <row r="267" spans="1:12" x14ac:dyDescent="0.2">
      <c r="A267" s="2">
        <v>45169</v>
      </c>
      <c r="B267" s="9">
        <v>3.166423</v>
      </c>
      <c r="C267" s="9">
        <v>4.1641783999999999</v>
      </c>
      <c r="D267" s="9">
        <v>5.0688576999999997</v>
      </c>
      <c r="E267" s="9">
        <v>3.7186370000000002</v>
      </c>
      <c r="F267" s="9">
        <v>1.1774831445936875</v>
      </c>
      <c r="G267" s="9">
        <v>1.5644992290422672</v>
      </c>
      <c r="H267" s="9">
        <v>3.6111672000000001</v>
      </c>
      <c r="I267" s="9">
        <v>-3.1578145000000002</v>
      </c>
      <c r="J267" s="38">
        <f t="shared" si="12"/>
        <v>-9.9775539999999996E-3</v>
      </c>
      <c r="K267" s="42">
        <f t="shared" si="13"/>
        <v>1.3502206999999995E-2</v>
      </c>
      <c r="L267" s="40">
        <f t="shared" si="14"/>
        <v>6.7689816999999999E-2</v>
      </c>
    </row>
    <row r="268" spans="1:12" x14ac:dyDescent="0.2">
      <c r="A268" s="2">
        <v>45199</v>
      </c>
      <c r="B268" s="9">
        <v>3.3186567</v>
      </c>
      <c r="C268" s="9">
        <v>4.3754400000000002</v>
      </c>
      <c r="D268" s="9">
        <v>4.3267519999999999</v>
      </c>
      <c r="E268" s="9">
        <v>3.6950726999999999</v>
      </c>
      <c r="F268" s="9">
        <v>1.0415521387329243</v>
      </c>
      <c r="G268" s="9">
        <v>1.61804486484068</v>
      </c>
      <c r="H268" s="9">
        <v>3.2987799999999998</v>
      </c>
      <c r="I268" s="9">
        <v>-3.1578145000000002</v>
      </c>
      <c r="J268" s="38">
        <f t="shared" si="12"/>
        <v>-1.0567833000000002E-2</v>
      </c>
      <c r="K268" s="42">
        <f t="shared" si="13"/>
        <v>6.3167930000000002E-3</v>
      </c>
      <c r="L268" s="40">
        <f t="shared" si="14"/>
        <v>6.4565945E-2</v>
      </c>
    </row>
    <row r="269" spans="1:12" x14ac:dyDescent="0.2">
      <c r="A269" s="2">
        <v>45230</v>
      </c>
      <c r="B269" s="9">
        <v>3.5165535999999999</v>
      </c>
      <c r="C269" s="9">
        <v>4.7937775</v>
      </c>
      <c r="D269" s="9">
        <v>3.0874126</v>
      </c>
      <c r="E269" s="9">
        <v>3.2465397999999999</v>
      </c>
      <c r="F269" s="9">
        <v>1.0415521387329243</v>
      </c>
      <c r="G269" s="9">
        <v>1.61804486484068</v>
      </c>
      <c r="H269" s="9">
        <v>2.8920796000000002</v>
      </c>
      <c r="I269" s="9">
        <v>-3.4526910000000002</v>
      </c>
      <c r="J269" s="38">
        <f t="shared" si="12"/>
        <v>-1.2772239000000001E-2</v>
      </c>
      <c r="K269" s="42">
        <f t="shared" si="13"/>
        <v>-1.591271999999999E-3</v>
      </c>
      <c r="L269" s="40">
        <f t="shared" si="14"/>
        <v>6.3447706000000006E-2</v>
      </c>
    </row>
    <row r="270" spans="1:12" x14ac:dyDescent="0.2">
      <c r="A270" s="2">
        <v>45260</v>
      </c>
      <c r="B270" s="9">
        <v>3.2332165000000002</v>
      </c>
      <c r="C270" s="9">
        <v>4.4996805000000002</v>
      </c>
      <c r="D270" s="9">
        <v>2.7440924999999998</v>
      </c>
      <c r="E270" s="9">
        <v>3.1398568</v>
      </c>
      <c r="F270" s="9">
        <v>1.0415521387329243</v>
      </c>
      <c r="G270" s="9">
        <v>1.61804486484068</v>
      </c>
      <c r="H270" s="9">
        <v>3.3943248000000001</v>
      </c>
      <c r="I270" s="9">
        <v>-3.4526910000000002</v>
      </c>
      <c r="J270" s="38">
        <f t="shared" si="12"/>
        <v>-1.266464E-2</v>
      </c>
      <c r="K270" s="42">
        <f t="shared" si="13"/>
        <v>-3.957643000000002E-3</v>
      </c>
      <c r="L270" s="40">
        <f t="shared" si="14"/>
        <v>6.8470158000000003E-2</v>
      </c>
    </row>
    <row r="271" spans="1:12" x14ac:dyDescent="0.2">
      <c r="A271" s="2">
        <v>45291</v>
      </c>
      <c r="B271" s="9">
        <v>2.6949920000000001</v>
      </c>
      <c r="C271" s="9">
        <v>4.0181040000000001</v>
      </c>
      <c r="D271" s="9">
        <v>2.929551</v>
      </c>
      <c r="E271" s="9">
        <v>3.3221896000000002</v>
      </c>
      <c r="F271" s="9">
        <v>1.0687454916308345</v>
      </c>
      <c r="G271" s="9">
        <v>1.6129424733692632</v>
      </c>
      <c r="H271" s="9">
        <v>3.079799</v>
      </c>
      <c r="I271" s="9">
        <v>-3.4526910000000002</v>
      </c>
      <c r="J271" s="38">
        <f t="shared" si="12"/>
        <v>-1.3231120000000001E-2</v>
      </c>
      <c r="K271" s="42">
        <f t="shared" si="13"/>
        <v>-3.9263860000000013E-3</v>
      </c>
      <c r="L271" s="40">
        <f t="shared" si="14"/>
        <v>6.5324900000000005E-2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3.8.1 Exchange Risk - CAD</vt:lpstr>
      <vt:lpstr>3.8.2 Exchange Risk - EUR</vt:lpstr>
      <vt:lpstr>3.7-9 Prediction and Hedging</vt:lpstr>
      <vt:lpstr>3.4 Regression Model</vt:lpstr>
      <vt:lpstr>Final Data</vt:lpstr>
      <vt:lpstr>3.8 Data - CAD#USD </vt:lpstr>
      <vt:lpstr>3.8 Data EUR#USD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Tăng Minh</dc:creator>
  <cp:lastModifiedBy>minhkhanh3103@gmail.com</cp:lastModifiedBy>
  <dcterms:created xsi:type="dcterms:W3CDTF">2025-08-05T00:17:31Z</dcterms:created>
  <dcterms:modified xsi:type="dcterms:W3CDTF">2025-08-15T06:18:50Z</dcterms:modified>
</cp:coreProperties>
</file>